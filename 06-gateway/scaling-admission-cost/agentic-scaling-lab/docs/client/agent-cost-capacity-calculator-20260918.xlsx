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nil_Choudhary/code/learning/agentic-scaling-lab/docs/client/"/>
    </mc:Choice>
  </mc:AlternateContent>
  <xr:revisionPtr revIDLastSave="0" documentId="13_ncr:1_{BA357EAD-9039-B442-BD03-A4E11C2FF431}" xr6:coauthVersionLast="47" xr6:coauthVersionMax="47" xr10:uidLastSave="{00000000-0000-0000-0000-000000000000}"/>
  <bookViews>
    <workbookView xWindow="0" yWindow="680" windowWidth="34200" windowHeight="20140" tabRatio="500" activeTab="4" xr2:uid="{00000000-000D-0000-FFFF-FFFF00000000}"/>
  </bookViews>
  <sheets>
    <sheet name="Read me" sheetId="1" r:id="rId1"/>
    <sheet name="Platform rates" sheetId="3" r:id="rId2"/>
    <sheet name="Demand" sheetId="4" r:id="rId3"/>
    <sheet name="Cost" sheetId="5" r:id="rId4"/>
    <sheet name="Inputs" sheetId="2" r:id="rId5"/>
    <sheet name="PT sizing" sheetId="6" r:id="rId6"/>
    <sheet name="Total cost"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4" l="1"/>
  <c r="C11" i="4" s="1"/>
  <c r="C12" i="4" s="1"/>
  <c r="D22" i="7"/>
  <c r="C22" i="7"/>
  <c r="C6" i="7"/>
  <c r="C5" i="7"/>
  <c r="D16" i="6"/>
  <c r="E16" i="6" s="1"/>
  <c r="G16" i="6" s="1"/>
  <c r="C16" i="6"/>
  <c r="C15" i="6"/>
  <c r="D15" i="6" s="1"/>
  <c r="E15" i="6" s="1"/>
  <c r="G15" i="6" s="1"/>
  <c r="C14" i="6"/>
  <c r="D14" i="6" s="1"/>
  <c r="E14" i="6" s="1"/>
  <c r="G14" i="6" s="1"/>
  <c r="C13" i="6"/>
  <c r="D13" i="6" s="1"/>
  <c r="E13" i="6" s="1"/>
  <c r="G13" i="6" s="1"/>
  <c r="C22" i="5"/>
  <c r="E22" i="5" s="1"/>
  <c r="D26" i="4"/>
  <c r="D24" i="4"/>
  <c r="C24" i="4"/>
  <c r="D19" i="4"/>
  <c r="D20" i="4" s="1"/>
  <c r="D21" i="4" s="1"/>
  <c r="C19" i="4"/>
  <c r="C20" i="4" s="1"/>
  <c r="C21" i="4" s="1"/>
  <c r="D18" i="4"/>
  <c r="D39" i="4" s="1"/>
  <c r="C18" i="4"/>
  <c r="C39" i="4" s="1"/>
  <c r="C14" i="4"/>
  <c r="C19" i="3"/>
  <c r="C26" i="2"/>
  <c r="E26" i="2" s="1"/>
  <c r="C15" i="5" l="1"/>
  <c r="C8" i="7"/>
  <c r="D15" i="5"/>
  <c r="D22" i="5" s="1"/>
  <c r="C5" i="4"/>
  <c r="C6" i="4" s="1"/>
  <c r="C8" i="4" s="1"/>
  <c r="C23" i="4"/>
  <c r="C22" i="4"/>
  <c r="D23" i="4"/>
  <c r="D22" i="4"/>
  <c r="D25" i="4"/>
  <c r="D40" i="4" s="1"/>
  <c r="D41" i="4" s="1"/>
  <c r="D42" i="4" s="1"/>
  <c r="C26" i="4"/>
  <c r="C37" i="7"/>
  <c r="D37" i="7"/>
  <c r="C7" i="7"/>
  <c r="C25" i="4"/>
  <c r="C40" i="4" s="1"/>
  <c r="C41" i="4" s="1"/>
  <c r="C42" i="4" s="1"/>
  <c r="C9" i="7"/>
  <c r="C7" i="4" l="1"/>
  <c r="C44" i="4"/>
  <c r="C43" i="4"/>
  <c r="C10" i="5"/>
  <c r="C7" i="5"/>
  <c r="C8" i="5"/>
  <c r="C6" i="6"/>
  <c r="C6" i="5"/>
  <c r="C9" i="5" s="1"/>
  <c r="D38" i="4"/>
  <c r="C38" i="4"/>
  <c r="D37" i="4"/>
  <c r="C37" i="4"/>
  <c r="C13" i="4"/>
  <c r="C9" i="4"/>
  <c r="C29" i="4"/>
  <c r="C32" i="4" s="1"/>
  <c r="D29" i="4"/>
  <c r="D32" i="4" s="1"/>
  <c r="D43" i="4"/>
  <c r="D44" i="4"/>
  <c r="D8" i="5"/>
  <c r="D6" i="6"/>
  <c r="D7" i="5"/>
  <c r="D6" i="5"/>
  <c r="D10" i="5"/>
  <c r="C39" i="7" l="1"/>
  <c r="C13" i="5"/>
  <c r="C14" i="5" s="1"/>
  <c r="C16" i="5" s="1"/>
  <c r="C7" i="6"/>
  <c r="C8" i="6" s="1"/>
  <c r="C14" i="7"/>
  <c r="C21" i="7"/>
  <c r="C23" i="7" s="1"/>
  <c r="D9" i="5"/>
  <c r="C23" i="5"/>
  <c r="C31" i="4"/>
  <c r="D30" i="4"/>
  <c r="D33" i="4" s="1"/>
  <c r="D34" i="4" s="1"/>
  <c r="C30" i="4"/>
  <c r="C33" i="4" s="1"/>
  <c r="C34" i="4" s="1"/>
  <c r="D13" i="7"/>
  <c r="C13" i="7"/>
  <c r="C9" i="6"/>
  <c r="D31" i="4"/>
  <c r="D7" i="6"/>
  <c r="D8" i="6" s="1"/>
  <c r="D14" i="7"/>
  <c r="D21" i="7"/>
  <c r="D23" i="7" s="1"/>
  <c r="D9" i="6" l="1"/>
  <c r="E23" i="5"/>
  <c r="D23" i="5"/>
  <c r="C15" i="7"/>
  <c r="C17" i="7" s="1"/>
  <c r="C16" i="7"/>
  <c r="D39" i="7"/>
  <c r="D13" i="5"/>
  <c r="D14" i="5" s="1"/>
  <c r="D16" i="7"/>
  <c r="D15" i="7"/>
  <c r="D17" i="7" s="1"/>
  <c r="C17" i="5"/>
  <c r="C31" i="7"/>
  <c r="C18" i="5"/>
  <c r="C24" i="5" l="1"/>
  <c r="D16" i="5"/>
  <c r="D38" i="7"/>
  <c r="D40" i="7" s="1"/>
  <c r="D41" i="7" s="1"/>
  <c r="D30" i="7"/>
  <c r="D28" i="7"/>
  <c r="D27" i="7"/>
  <c r="D29" i="7"/>
  <c r="C30" i="7"/>
  <c r="C38" i="7"/>
  <c r="C40" i="7" s="1"/>
  <c r="C41" i="7" s="1"/>
  <c r="C28" i="7"/>
  <c r="C29" i="7"/>
  <c r="C27" i="7"/>
  <c r="C32" i="7" l="1"/>
  <c r="C33" i="7" s="1"/>
  <c r="D31" i="7"/>
  <c r="D32" i="7" s="1"/>
  <c r="D33" i="7" s="1"/>
  <c r="D18" i="5"/>
  <c r="D17" i="5"/>
  <c r="E24" i="5"/>
  <c r="D24" i="5"/>
</calcChain>
</file>

<file path=xl/sharedStrings.xml><?xml version="1.0" encoding="utf-8"?>
<sst xmlns="http://schemas.openxmlformats.org/spreadsheetml/2006/main" count="337" uniqueCount="290">
  <si>
    <t>Agent cost and capacity calculator</t>
  </si>
  <si>
    <t>Modelling what context drift does to cost and to capacity</t>
  </si>
  <si>
    <t>The question this answers</t>
  </si>
  <si>
    <t>Input size grows as people learn what a system can do — longer questions, richer history, more tool results in context. Traffic can be flat while the bill and the capacity envelope both move. These scenarios model that, holding volume constant and changing only the size of a turn.</t>
  </si>
  <si>
    <t>The three scenarios</t>
  </si>
  <si>
    <t>Today</t>
  </si>
  <si>
    <t>Your measured average input size. The starting point.</t>
  </si>
  <si>
    <t>p95 as the norm</t>
  </si>
  <si>
    <t>Every call now carries today's 95th-percentile input size. This is the realistic end state of drift, not a worst case.</t>
  </si>
  <si>
    <t>Two sheets of assumptions, on purpose</t>
  </si>
  <si>
    <t>Inputs</t>
  </si>
  <si>
    <t>Client context — volumes, turn structure, token sizes, model mix, tier baseline, PT commitment. Calibrated per engagement, edited often.</t>
  </si>
  <si>
    <t>Platform rates</t>
  </si>
  <si>
    <t>Vendor prices and throughput constants — model prices, burndown weights, GSU throughput, PT prices by term. Changed only when Google changes them.</t>
  </si>
  <si>
    <t>Cell conventions</t>
  </si>
  <si>
    <t>Yellow fill, blue text</t>
  </si>
  <si>
    <t>A client input, on the Inputs sheet. Edit these often.</t>
  </si>
  <si>
    <t>Purple fill, purple text</t>
  </si>
  <si>
    <t>A platform rate. Edit these when prices change.</t>
  </si>
  <si>
    <t>Black text</t>
  </si>
  <si>
    <t>A formula. Leave alone.</t>
  </si>
  <si>
    <t>Green text</t>
  </si>
  <si>
    <t>A direct reference to another sheet.</t>
  </si>
  <si>
    <t>Cream fill</t>
  </si>
  <si>
    <t>A headline result worth quoting.</t>
  </si>
  <si>
    <t>Reading order</t>
  </si>
  <si>
    <t>1.</t>
  </si>
  <si>
    <t>Inputs — set today's average and p95 input tokens from your own traces. These two numbers drive everything else.</t>
  </si>
  <si>
    <t>2.</t>
  </si>
  <si>
    <t>Demand — watch three rows in particular: the cached share of the input, the turn duration, and the peak TPM against your tier baseline. All three move on drift alone, with no change in traffic.</t>
  </si>
  <si>
    <t>3.</t>
  </si>
  <si>
    <t>Cost — cost per conversation, the monthly bill, and the increase versus today. The effective price per million input tokens is the row that explains why cost outruns token count.</t>
  </si>
  <si>
    <t>4.</t>
  </si>
  <si>
    <t>PT sizing — how many GSUs the same traffic needs in each scenario, and the break-even utilisation that decides the term.</t>
  </si>
  <si>
    <t>5.</t>
  </si>
  <si>
    <t>Total cost — the all-in monthly figure: commitment plus spill-over plus the models that never run on PT, against pure pay-as-you-go.</t>
  </si>
  <si>
    <t>The mechanism worth understanding</t>
  </si>
  <si>
    <t>Cache dilution</t>
  </si>
  <si>
    <t>The cacheable prefix — instructions, policy text, tool schemas — is fixed in size. History and tool results are what grow. So as input rises, the cached share falls and the blended price per input token climbs toward the full rate. Cost grows faster than the token count does.</t>
  </si>
  <si>
    <t>Longer turns</t>
  </si>
  <si>
    <t>A larger context takes longer to prefill, so turns lengthen. By Little's law that means more turns in flight at the same arrival rate, and each turn burns tokens faster — so the number of turns your tier baseline can admit falls. Drift shrinks the admission cap without anyone changing a setting.</t>
  </si>
  <si>
    <t>What this model does not include</t>
  </si>
  <si>
    <t>Compute, storage, queue and networking costs — small next to the model bill, but not zero.</t>
  </si>
  <si>
    <t>Retrieval and embedding costs, evaluation runs, and tokens spent on turns that are retried or shed.</t>
  </si>
  <si>
    <t>Output growth. Longer inputs often produce longer answers; output tokens are held constant here, so raise them by hand if your traces disagree.</t>
  </si>
  <si>
    <t>Downstream system load and the human-cost comparison — deliberately out of scope, tracked separately.</t>
  </si>
  <si>
    <t>Client context — the assumptions to calibrate</t>
  </si>
  <si>
    <t>Edit the yellow cells. Vendor prices and throughput constants live on the Platform rates sheet, because they change on Google's schedule, not yours.</t>
  </si>
  <si>
    <t>VOLUME AND TURN STRUCTURE</t>
  </si>
  <si>
    <t>Conversations per day</t>
  </si>
  <si>
    <t>conversations</t>
  </si>
  <si>
    <t>Total across all channels, at today's volume</t>
  </si>
  <si>
    <t>Turns per conversation</t>
  </si>
  <si>
    <t>turns</t>
  </si>
  <si>
    <t>One turn = one user message and the agent's full response</t>
  </si>
  <si>
    <t>Model calls per turn</t>
  </si>
  <si>
    <t>calls</t>
  </si>
  <si>
    <t>Plan, answer, and sometimes a third call</t>
  </si>
  <si>
    <t>Tool calls per turn</t>
  </si>
  <si>
    <t>Average across intents</t>
  </si>
  <si>
    <t>Turn duration today, p50</t>
  </si>
  <si>
    <t>seconds</t>
  </si>
  <si>
    <t>At today's input size. Larger inputs lengthen this automatically</t>
  </si>
  <si>
    <t>User think time between turns</t>
  </si>
  <si>
    <t>Drives concurrent sessions, not in-flight turns</t>
  </si>
  <si>
    <t>Peak-hour multiplier vs daily average</t>
  </si>
  <si>
    <t>×</t>
  </si>
  <si>
    <t>Busiest hour divided by the 24-hour average</t>
  </si>
  <si>
    <t>Hours per day at the peak rate</t>
  </si>
  <si>
    <t>hours</t>
  </si>
  <si>
    <t>Shapes the daily profile used for spill-over</t>
  </si>
  <si>
    <t>INPUT TOKEN SIZE — THE DRIFT AXIS</t>
  </si>
  <si>
    <t>Input tokens per model call — today's average</t>
  </si>
  <si>
    <t>tokens</t>
  </si>
  <si>
    <t>Measured from traces</t>
  </si>
  <si>
    <t>Input tokens per model call — p95</t>
  </si>
  <si>
    <t>The tail you are already serving, observed in QA</t>
  </si>
  <si>
    <t>Stable cacheable prefix, today</t>
  </si>
  <si>
    <t>Must clear the cache minimum on Platform rates or nothing caches at all</t>
  </si>
  <si>
    <t>Prefix cache hit rate</t>
  </si>
  <si>
    <t>%</t>
  </si>
  <si>
    <t>Share of calls where the prefix is served from cache</t>
  </si>
  <si>
    <t>Output tokens per model call</t>
  </si>
  <si>
    <t>Including thinking tokens, which are billed as output</t>
  </si>
  <si>
    <t>Only the variable part of the input grows — history, user text and tool results. The prefix stays fixed in absolute terms, so its share of the input shrinks as the input grows. That is why cost rises faster than token count.</t>
  </si>
  <si>
    <t>MODEL MIX — SHARE OF MODEL CALLS</t>
  </si>
  <si>
    <t>Standard model</t>
  </si>
  <si>
    <t>Lite model</t>
  </si>
  <si>
    <t>Routing, classification, short answers</t>
  </si>
  <si>
    <t>Pro model</t>
  </si>
  <si>
    <t>Rare hard cases only</t>
  </si>
  <si>
    <t>Check — must total 100%</t>
  </si>
  <si>
    <t>CAPACITY AND COMMITMENT</t>
  </si>
  <si>
    <t>Organisation TPM baseline for this model family</t>
  </si>
  <si>
    <t>tokens/min</t>
  </si>
  <si>
    <t>Set by rolling 30-day spend across the whole organisation</t>
  </si>
  <si>
    <t>Share of model calls carried on Provisioned Throughput</t>
  </si>
  <si>
    <t>Typically the standard-model share; the rest is always pay-as-you-go</t>
  </si>
  <si>
    <t>GSUs to actually purchase</t>
  </si>
  <si>
    <t>GSUs</t>
  </si>
  <si>
    <t>The lever. See the Total cost sheet for what each choice costs all-in</t>
  </si>
  <si>
    <t>Spill-over tier price multiplier</t>
  </si>
  <si>
    <t>1.0 Standard · 1.8 Priority · 0.5 Flex</t>
  </si>
  <si>
    <t>OPERATING</t>
  </si>
  <si>
    <t>Days per month</t>
  </si>
  <si>
    <t>days</t>
  </si>
  <si>
    <t>Platform rates — vendor prices and throughput constants</t>
  </si>
  <si>
    <t>Verified September 2026, global endpoint, list prices. These change on Google's schedule — re-confirm before any commitment, then edit here only.</t>
  </si>
  <si>
    <t>MODEL PRICES — $ PER 1 MILLION TOKENS</t>
  </si>
  <si>
    <t>Model</t>
  </si>
  <si>
    <t>Input</t>
  </si>
  <si>
    <t>Cached input</t>
  </si>
  <si>
    <t>Output</t>
  </si>
  <si>
    <t>Note</t>
  </si>
  <si>
    <t>Standard model — Gemini 3.5 Flash</t>
  </si>
  <si>
    <t>Introductory pricing on 3.6–3.8 Flash ends 31 December 2026</t>
  </si>
  <si>
    <t>Lite model — 3.5 Flash-Lite</t>
  </si>
  <si>
    <t>Pro model — 3.1 Pro Preview</t>
  </si>
  <si>
    <t>Doubles above 200k context</t>
  </si>
  <si>
    <t>Regional endpoints add 10%. Priority tier 1.8×; Flex and Batch 0.5×. Cached input is billed at 10% of the input rate.</t>
  </si>
  <si>
    <t>THROUGHPUT AND BURNDOWN</t>
  </si>
  <si>
    <t>GSU throughput</t>
  </si>
  <si>
    <t>burndown tokens/s</t>
  </si>
  <si>
    <t>One generative-scale unit of the standard model</t>
  </si>
  <si>
    <t>Burndown weight — uncached input</t>
  </si>
  <si>
    <t>Burndown weight — cached input</t>
  </si>
  <si>
    <t>Burndown weight — output</t>
  </si>
  <si>
    <t>Output dominates PT sizing</t>
  </si>
  <si>
    <t>Pay-as-you-go price per 1M burndown tokens</t>
  </si>
  <si>
    <t>$</t>
  </si>
  <si>
    <t>Equals the standard model's input price — the weights mirror the price ratios</t>
  </si>
  <si>
    <t>Added turn seconds per 1,000 extra input tokens</t>
  </si>
  <si>
    <t>Prefill cost of a larger context. Measure and replace this</t>
  </si>
  <si>
    <t>Minimum cacheable prefix</t>
  </si>
  <si>
    <t>6,144 on 3.7/3.8 Flash and 3.1 Pro. Below this, no caching at all</t>
  </si>
  <si>
    <t>Check — spill-over pricing identity</t>
  </si>
  <si>
    <t>Spill-over cost is burndown tokens × the standard model's input price. That is exact only while cached and output prices are the same multiples of the input price as their burndown weights.</t>
  </si>
  <si>
    <t>PROVISIONED THROUGHPUT — $ PER GSU-HOUR BY TERM</t>
  </si>
  <si>
    <t>1 week term</t>
  </si>
  <si>
    <t>1 month term</t>
  </si>
  <si>
    <t>3 month term</t>
  </si>
  <si>
    <t>1 year term</t>
  </si>
  <si>
    <t>Usually the only term that can beat pay-as-you-go</t>
  </si>
  <si>
    <t>Turn shape, token demand and concurrency by scenario</t>
  </si>
  <si>
    <t>Volume is held constant in both columns. Only the size of a turn changes — which is what drift does to a live system.</t>
  </si>
  <si>
    <t>VOLUME AND RATES — CONSTANT ACROSS SCENARIOS</t>
  </si>
  <si>
    <t>Conversations per second, daily average</t>
  </si>
  <si>
    <t>Turns per second, daily average</t>
  </si>
  <si>
    <t>Turns per second, peak hour</t>
  </si>
  <si>
    <t>Model calls per second, daily average</t>
  </si>
  <si>
    <t>Model calls per second, peak hour</t>
  </si>
  <si>
    <t>Conversations in the daily peak block</t>
  </si>
  <si>
    <t>Peak and off-peak blocks sum to the daily volume</t>
  </si>
  <si>
    <t>Conversations in the off-peak block</t>
  </si>
  <si>
    <t>Model calls per second, off-peak</t>
  </si>
  <si>
    <t>Tool calls per second, peak hour</t>
  </si>
  <si>
    <t>Unaffected by token size</t>
  </si>
  <si>
    <t>Check — peak hours × multiplier must stay under 24</t>
  </si>
  <si>
    <t>TURN SHAPE BY SCENARIO</t>
  </si>
  <si>
    <t>Today — measured average</t>
  </si>
  <si>
    <t>Input tokens per model call</t>
  </si>
  <si>
    <t>The drift axis</t>
  </si>
  <si>
    <t>Stable cacheable prefix</t>
  </si>
  <si>
    <t>Fixed in absolute terms — only history and tool results grow</t>
  </si>
  <si>
    <t>Effective cache hit rate</t>
  </si>
  <si>
    <t>Forced to zero if the prefix is below the platform's cache minimum</t>
  </si>
  <si>
    <t>Cached input tokens per call</t>
  </si>
  <si>
    <t>Billed at 10% of the input price</t>
  </si>
  <si>
    <t>Uncached input tokens per call</t>
  </si>
  <si>
    <t>Billed at the full rate</t>
  </si>
  <si>
    <t>Cached share of the input</t>
  </si>
  <si>
    <t>This is what erodes as the input grows — the cost driver behind drift</t>
  </si>
  <si>
    <t>Output tokens per call</t>
  </si>
  <si>
    <t>Held constant; raise it if longer inputs also produce longer answers</t>
  </si>
  <si>
    <t>Turn duration, p50</t>
  </si>
  <si>
    <t>Larger contexts take longer to prefill</t>
  </si>
  <si>
    <t>Prefix clears the cache minimum?</t>
  </si>
  <si>
    <t>TOKEN DEMAND BY SCENARIO</t>
  </si>
  <si>
    <t>Input tokens per minute, daily average</t>
  </si>
  <si>
    <t>Input tokens per minute, peak hour</t>
  </si>
  <si>
    <t>Output tokens per minute, peak hour</t>
  </si>
  <si>
    <t>Average TPM vs the organisation baseline</t>
  </si>
  <si>
    <t>Peak TPM vs the organisation baseline</t>
  </si>
  <si>
    <t>Above 1.00× at peak means shaping or buying capacity</t>
  </si>
  <si>
    <t>Verdict at the peak hour</t>
  </si>
  <si>
    <t>Note this can go red on drift alone, with no traffic growth at all</t>
  </si>
  <si>
    <t>CONCURRENCY AND THE ADMISSION CAP</t>
  </si>
  <si>
    <t>In-flight turns at the peak hour</t>
  </si>
  <si>
    <t>Sizes orchestrator memory, session locks and model concurrency</t>
  </si>
  <si>
    <t>Concurrent sessions at the peak hour</t>
  </si>
  <si>
    <t>Sizes open streaming connections and hot session state</t>
  </si>
  <si>
    <t>Tokens consumed per turn</t>
  </si>
  <si>
    <t>Tokens per second per in-flight turn</t>
  </si>
  <si>
    <t>In-flight turns the baseline sustains</t>
  </si>
  <si>
    <t>The starting value for the admission controller's in-flight cap</t>
  </si>
  <si>
    <t>Turns per second the baseline sustains</t>
  </si>
  <si>
    <t>Headroom at the peak hour (turns per second)</t>
  </si>
  <si>
    <t>Negative means demand exceeds what the token budget admits</t>
  </si>
  <si>
    <t>Share of peak demand that must be shed</t>
  </si>
  <si>
    <t>Drift shrinks the cap while demand stays the same</t>
  </si>
  <si>
    <t>Cost by scenario — what context drift does to the bill</t>
  </si>
  <si>
    <t>Same traffic in every column. The only thing that changes is the size of a turn.</t>
  </si>
  <si>
    <t>COST PER MODEL CALL</t>
  </si>
  <si>
    <t>Blended cost per model call</t>
  </si>
  <si>
    <t>Weighted by the model mix</t>
  </si>
  <si>
    <t>Effective price per 1M input tokens</t>
  </si>
  <si>
    <t>Rises as the cached share erodes, even though list prices never move</t>
  </si>
  <si>
    <t>COST PER TURN, CONVERSATION AND MONTH</t>
  </si>
  <si>
    <t>Cost per turn</t>
  </si>
  <si>
    <t>Cost per conversation</t>
  </si>
  <si>
    <t>The number to compare with a human-handled contact</t>
  </si>
  <si>
    <t>Conversations per month</t>
  </si>
  <si>
    <t>Model cost per month</t>
  </si>
  <si>
    <t>Pure pay-as-you-go, no commitment</t>
  </si>
  <si>
    <t>Increase vs today</t>
  </si>
  <si>
    <t>The cost of drift, with no extra users and no price change</t>
  </si>
  <si>
    <t>Extra dollars per month vs today</t>
  </si>
  <si>
    <t>WHAT THE LEVERS ARE WORTH — AT THE p95-AS-NORM SCENARIO</t>
  </si>
  <si>
    <t>Configuration</t>
  </si>
  <si>
    <t>$ per conversation</t>
  </si>
  <si>
    <t>$ per month</t>
  </si>
  <si>
    <t>vs no caching</t>
  </si>
  <si>
    <t>No caching, all calls on the standard model</t>
  </si>
  <si>
    <t>Prefix not stable, or below the cache minimum</t>
  </si>
  <si>
    <t>Prefix cached, all calls on the standard model</t>
  </si>
  <si>
    <t>Caching alone, no routing</t>
  </si>
  <si>
    <t>Prefix cached plus the model mix on Inputs</t>
  </si>
  <si>
    <t>Routing and caching together — the current design</t>
  </si>
  <si>
    <t>Provisioned Throughput sizing and break-even</t>
  </si>
  <si>
    <t>PT buys an SLA and freedom from contention on the shared pool. It is only cheaper than pay-as-you-go on a long term at high utilisation.</t>
  </si>
  <si>
    <t>BURNDOWN AND SIZING BY SCENARIO</t>
  </si>
  <si>
    <t>Burndown tokens per model call</t>
  </si>
  <si>
    <t>Output is weighted 6×, which is why it dominates</t>
  </si>
  <si>
    <t>Model calls per second per GSU</t>
  </si>
  <si>
    <t>GSUs for all standard-model calls, daily average</t>
  </si>
  <si>
    <t>Sizing guidance, shown whatever the PT share is set to</t>
  </si>
  <si>
    <t>GSUs for all standard-model calls, peak hour</t>
  </si>
  <si>
    <t>Sizing here leaves the units idle most of the day</t>
  </si>
  <si>
    <t>BREAK-EVEN UTILISATION BY TERM — INDEPENDENT OF SCENARIO</t>
  </si>
  <si>
    <t>Term</t>
  </si>
  <si>
    <t>$ per GSU-hour</t>
  </si>
  <si>
    <t>$ per 1M burndown tokens at 100% use</t>
  </si>
  <si>
    <t>Break-even utilisation vs PayGo</t>
  </si>
  <si>
    <t>1 week</t>
  </si>
  <si>
    <t>1 month</t>
  </si>
  <si>
    <t>3 months</t>
  </si>
  <si>
    <t>1 year</t>
  </si>
  <si>
    <t>Total monthly cost — Provisioned Throughput plus pay-as-you-go spill-over</t>
  </si>
  <si>
    <t>PT is a fixed monthly commitment whether you use it or not. Demand above its capacity spills over to pay-as-you-go. This sheet adds the two together, for each drift scenario.</t>
  </si>
  <si>
    <t>THE PURCHASE</t>
  </si>
  <si>
    <t>GSUs to purchase</t>
  </si>
  <si>
    <t>Edit on the Inputs sheet</t>
  </si>
  <si>
    <t>PT capacity purchased</t>
  </si>
  <si>
    <t>Burndown tokens per second, available around the clock</t>
  </si>
  <si>
    <t>Model calls per month</t>
  </si>
  <si>
    <t>Check — the GSU lever needs a PT share above zero</t>
  </si>
  <si>
    <t>SPILL-OVER BY SCENARIO</t>
  </si>
  <si>
    <t>Burndown tokens/s on PT, peak block</t>
  </si>
  <si>
    <t>Burndown tokens/s on PT, off-peak block</t>
  </si>
  <si>
    <t>Burndown served by PT, per month</t>
  </si>
  <si>
    <t>Burndown spilled to pay-as-you-go, per month</t>
  </si>
  <si>
    <t>Priced at the spill-over tier</t>
  </si>
  <si>
    <t>PT utilisation averaged over the month</t>
  </si>
  <si>
    <t>Compare with the break-even utilisation on the PT sizing sheet</t>
  </si>
  <si>
    <t>THE GSU LEVER — HOW FAR IT CAN GO</t>
  </si>
  <si>
    <t>GSUs you can keep saturated around the clock</t>
  </si>
  <si>
    <t>Capacity must sit below the off-peak trough to stay fully used. Shown whatever the PT share is set to</t>
  </si>
  <si>
    <t>Saving per saturated GSU, 1-year term</t>
  </si>
  <si>
    <t>Fixed per GSU while it stays saturated — the same in both columns</t>
  </si>
  <si>
    <t>Best case saving from the GSU lever</t>
  </si>
  <si>
    <t>Buy what you can keep busy; a GSU sized for the peak sits idle and loses money</t>
  </si>
  <si>
    <t>TOTAL MONTHLY COST BY TERM — THE ANSWER</t>
  </si>
  <si>
    <t>PT on a 1 week term</t>
  </si>
  <si>
    <t>PT on a 1 month term</t>
  </si>
  <si>
    <t>PT on a 3 month term</t>
  </si>
  <si>
    <t>PT on a 1 year term</t>
  </si>
  <si>
    <t>Commitment + spill-over + models never on PT</t>
  </si>
  <si>
    <t>The baseline every row above is measured against</t>
  </si>
  <si>
    <t>Best PT term vs pure pay-as-you-go</t>
  </si>
  <si>
    <t>Positive means PT costs more — you are buying the SLA, not a discount</t>
  </si>
  <si>
    <t>Cheapest option</t>
  </si>
  <si>
    <t>COMPONENT BREAKDOWN ON THE 1-YEAR TERM</t>
  </si>
  <si>
    <t>PT commitment</t>
  </si>
  <si>
    <t>Fixed, whether you use the capacity or not</t>
  </si>
  <si>
    <t>Spill-over on the standard model</t>
  </si>
  <si>
    <t>Models never carried on PT</t>
  </si>
  <si>
    <t>Lite and Pro calls are always pay-as-you-go</t>
  </si>
  <si>
    <t>Total per month</t>
  </si>
  <si>
    <t>Effective cost per conversation</t>
  </si>
  <si>
    <t>Two things to notice as you move right across these columns. The GSUs needed to serve the same traffic rise with the input size, so a commitment sized for today is progressively outgrown — check the PT sizing sheet. And the spill-over line grows faster than the commitment line, because everything above the fixed capacity is billed at full pay-as-you-go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</si>
</sst>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
    <numFmt numFmtId="168" formatCode="\$#,##0.0000"/>
    <numFmt numFmtId="169" formatCode="\$#,##0.000"/>
    <numFmt numFmtId="170" formatCode="\$#,##0"/>
    <numFmt numFmtId="171" formatCode="#,##0.000"/>
  </numFmts>
  <fonts count="17" x14ac:knownFonts="1">
    <font>
      <sz val="11"/>
      <color theme="1"/>
      <name val="Calibri"/>
      <family val="2"/>
      <charset val="1"/>
    </font>
    <font>
      <b/>
      <sz val="18"/>
      <color rgb="FF0B5B57"/>
      <name val="Arial"/>
      <family val="2"/>
    </font>
    <font>
      <i/>
      <sz val="11"/>
      <color rgb="FF6B767C"/>
      <name val="Arial"/>
      <family val="2"/>
    </font>
    <font>
      <b/>
      <sz val="11"/>
      <color rgb="FF0B5B57"/>
      <name val="Arial"/>
      <family val="2"/>
    </font>
    <font>
      <b/>
      <sz val="10"/>
      <color rgb="FF1F2A2E"/>
      <name val="Arial"/>
      <family val="2"/>
    </font>
    <font>
      <sz val="10"/>
      <color rgb="FF1F2A2E"/>
      <name val="Arial"/>
      <family val="2"/>
    </font>
    <font>
      <b/>
      <sz val="15"/>
      <color rgb="FF0B5B57"/>
      <name val="Arial"/>
      <family val="2"/>
    </font>
    <font>
      <i/>
      <sz val="10"/>
      <color rgb="FF6B767C"/>
      <name val="Arial"/>
      <family val="2"/>
    </font>
    <font>
      <b/>
      <sz val="10"/>
      <color rgb="FFFFFFFF"/>
      <name val="Arial"/>
      <family val="2"/>
    </font>
    <font>
      <b/>
      <sz val="10"/>
      <color rgb="FF0000FF"/>
      <name val="Arial"/>
      <family val="2"/>
    </font>
    <font>
      <i/>
      <sz val="9"/>
      <color rgb="FF6B767C"/>
      <name val="Arial"/>
      <family val="2"/>
    </font>
    <font>
      <sz val="10"/>
      <color rgb="FF000000"/>
      <name val="Arial"/>
      <family val="2"/>
    </font>
    <font>
      <b/>
      <sz val="10"/>
      <color rgb="FFB3261E"/>
      <name val="Arial"/>
      <family val="2"/>
    </font>
    <font>
      <b/>
      <sz val="10"/>
      <color rgb="FF7A0F8C"/>
      <name val="Arial"/>
      <family val="2"/>
    </font>
    <font>
      <b/>
      <sz val="10"/>
      <color rgb="FF0B5B57"/>
      <name val="Arial"/>
      <family val="2"/>
    </font>
    <font>
      <b/>
      <sz val="10"/>
      <color rgb="FF000000"/>
      <name val="Arial"/>
      <family val="2"/>
    </font>
    <font>
      <sz val="10"/>
      <color rgb="FF008000"/>
      <name val="Arial"/>
      <family val="2"/>
    </font>
  </fonts>
  <fills count="7">
    <fill>
      <patternFill patternType="none"/>
    </fill>
    <fill>
      <patternFill patternType="gray125"/>
    </fill>
    <fill>
      <patternFill patternType="solid">
        <fgColor rgb="FF0B5B57"/>
        <bgColor rgb="FF008080"/>
      </patternFill>
    </fill>
    <fill>
      <patternFill patternType="solid">
        <fgColor rgb="FFFFFF00"/>
        <bgColor rgb="FFFFFF00"/>
      </patternFill>
    </fill>
    <fill>
      <patternFill patternType="solid">
        <fgColor rgb="FFDDEFEC"/>
        <bgColor rgb="FFCCFFFF"/>
      </patternFill>
    </fill>
    <fill>
      <patternFill patternType="solid">
        <fgColor rgb="FFEDDCF2"/>
        <bgColor rgb="FFDDEFEC"/>
      </patternFill>
    </fill>
    <fill>
      <patternFill patternType="solid">
        <fgColor rgb="FFFFF6DC"/>
        <bgColor rgb="FFFFFFFF"/>
      </patternFill>
    </fill>
  </fills>
  <borders count="3">
    <border>
      <left/>
      <right/>
      <top/>
      <bottom/>
      <diagonal/>
    </border>
    <border>
      <left/>
      <right/>
      <top style="medium">
        <color rgb="FF0B5B57"/>
      </top>
      <bottom/>
      <diagonal/>
    </border>
    <border>
      <left style="thin">
        <color rgb="FFB8C2BE"/>
      </left>
      <right style="thin">
        <color rgb="FFB8C2BE"/>
      </right>
      <top style="thin">
        <color rgb="FFB8C2BE"/>
      </top>
      <bottom style="thin">
        <color rgb="FFB8C2BE"/>
      </bottom>
      <diagonal/>
    </border>
  </borders>
  <cellStyleXfs count="1">
    <xf numFmtId="0" fontId="0" fillId="0" borderId="0"/>
  </cellStyleXfs>
  <cellXfs count="55">
    <xf numFmtId="0" fontId="0" fillId="0" borderId="0" xfId="0"/>
    <xf numFmtId="0" fontId="10" fillId="0" borderId="0" xfId="0" applyFont="1" applyAlignment="1">
      <alignment vertical="top" wrapText="1"/>
    </xf>
    <xf numFmtId="0" fontId="1" fillId="0" borderId="0" xfId="0" applyFon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7" fillId="0" borderId="0" xfId="0" applyFont="1"/>
    <xf numFmtId="0" fontId="8" fillId="2" borderId="0" xfId="0" applyFont="1" applyFill="1"/>
    <xf numFmtId="0" fontId="0" fillId="2" borderId="0" xfId="0" applyFill="1"/>
    <xf numFmtId="0" fontId="5" fillId="0" borderId="0" xfId="0" applyFont="1"/>
    <xf numFmtId="3" fontId="9" fillId="3" borderId="2" xfId="0" applyNumberFormat="1" applyFont="1" applyFill="1" applyBorder="1"/>
    <xf numFmtId="0" fontId="10" fillId="0" borderId="0" xfId="0" applyFont="1"/>
    <xf numFmtId="164" fontId="9" fillId="3" borderId="2" xfId="0" applyNumberFormat="1" applyFont="1" applyFill="1" applyBorder="1"/>
    <xf numFmtId="4" fontId="9" fillId="3" borderId="2" xfId="0" applyNumberFormat="1" applyFont="1" applyFill="1" applyBorder="1"/>
    <xf numFmtId="165" fontId="9" fillId="3" borderId="2" xfId="0" applyNumberFormat="1" applyFont="1" applyFill="1" applyBorder="1"/>
    <xf numFmtId="0" fontId="4" fillId="0" borderId="0" xfId="0" applyFont="1"/>
    <xf numFmtId="165" fontId="11" fillId="0" borderId="2" xfId="0" applyNumberFormat="1" applyFont="1" applyBorder="1"/>
    <xf numFmtId="0" fontId="12" fillId="0" borderId="0" xfId="0" applyFont="1"/>
    <xf numFmtId="0" fontId="4" fillId="4" borderId="0" xfId="0" applyFont="1" applyFill="1" applyAlignment="1">
      <alignment horizontal="left"/>
    </xf>
    <xf numFmtId="0" fontId="4" fillId="4" borderId="0" xfId="0" applyFont="1" applyFill="1" applyAlignment="1">
      <alignment horizontal="center"/>
    </xf>
    <xf numFmtId="0" fontId="4" fillId="4" borderId="0" xfId="0" applyFont="1" applyFill="1"/>
    <xf numFmtId="166" fontId="13" fillId="5" borderId="2" xfId="0" applyNumberFormat="1" applyFont="1" applyFill="1" applyBorder="1"/>
    <xf numFmtId="3" fontId="13" fillId="5" borderId="2" xfId="0" applyNumberFormat="1" applyFont="1" applyFill="1" applyBorder="1"/>
    <xf numFmtId="164" fontId="13" fillId="5" borderId="2" xfId="0" applyNumberFormat="1" applyFont="1" applyFill="1" applyBorder="1"/>
    <xf numFmtId="4" fontId="13" fillId="5" borderId="2" xfId="0" applyNumberFormat="1" applyFont="1" applyFill="1" applyBorder="1"/>
    <xf numFmtId="0" fontId="12" fillId="0" borderId="2" xfId="0" applyFont="1" applyBorder="1"/>
    <xf numFmtId="4" fontId="11" fillId="0" borderId="2" xfId="0" applyNumberFormat="1" applyFont="1" applyBorder="1"/>
    <xf numFmtId="164" fontId="11" fillId="0" borderId="2" xfId="0" applyNumberFormat="1" applyFont="1" applyBorder="1"/>
    <xf numFmtId="0" fontId="14" fillId="0" borderId="0" xfId="0" applyFont="1"/>
    <xf numFmtId="164" fontId="15" fillId="6" borderId="2" xfId="0" applyNumberFormat="1" applyFont="1" applyFill="1" applyBorder="1"/>
    <xf numFmtId="3" fontId="11" fillId="0" borderId="2" xfId="0" applyNumberFormat="1" applyFont="1" applyBorder="1"/>
    <xf numFmtId="0" fontId="0" fillId="4" borderId="0" xfId="0" applyFill="1"/>
    <xf numFmtId="0" fontId="4" fillId="4" borderId="2" xfId="0" applyFont="1" applyFill="1" applyBorder="1" applyAlignment="1">
      <alignment horizontal="center" wrapText="1"/>
    </xf>
    <xf numFmtId="3" fontId="15" fillId="6" borderId="2" xfId="0" applyNumberFormat="1" applyFont="1" applyFill="1" applyBorder="1"/>
    <xf numFmtId="165" fontId="15" fillId="6" borderId="2" xfId="0" applyNumberFormat="1" applyFont="1" applyFill="1" applyBorder="1"/>
    <xf numFmtId="0" fontId="11" fillId="0" borderId="2" xfId="0" applyFont="1" applyBorder="1" applyAlignment="1">
      <alignment horizontal="center"/>
    </xf>
    <xf numFmtId="167" fontId="11" fillId="0" borderId="2" xfId="0" applyNumberFormat="1" applyFont="1" applyBorder="1"/>
    <xf numFmtId="167" fontId="15" fillId="6" borderId="2" xfId="0" applyNumberFormat="1" applyFont="1" applyFill="1" applyBorder="1"/>
    <xf numFmtId="0" fontId="11" fillId="0" borderId="2" xfId="0" applyFont="1" applyBorder="1"/>
    <xf numFmtId="168" fontId="11" fillId="0" borderId="2" xfId="0" applyNumberFormat="1" applyFont="1" applyBorder="1"/>
    <xf numFmtId="168" fontId="15" fillId="6" borderId="2" xfId="0" applyNumberFormat="1" applyFont="1" applyFill="1" applyBorder="1"/>
    <xf numFmtId="169" fontId="15" fillId="6" borderId="2" xfId="0" applyNumberFormat="1" applyFont="1" applyFill="1" applyBorder="1"/>
    <xf numFmtId="170" fontId="15" fillId="6" borderId="2" xfId="0" applyNumberFormat="1" applyFont="1" applyFill="1" applyBorder="1"/>
    <xf numFmtId="170" fontId="11" fillId="0" borderId="2" xfId="0" applyNumberFormat="1" applyFont="1" applyBorder="1"/>
    <xf numFmtId="169" fontId="11" fillId="0" borderId="2" xfId="0" applyNumberFormat="1" applyFont="1" applyBorder="1"/>
    <xf numFmtId="171" fontId="11" fillId="0" borderId="2" xfId="0" applyNumberFormat="1" applyFont="1" applyBorder="1"/>
    <xf numFmtId="166" fontId="16" fillId="0" borderId="2" xfId="0" applyNumberFormat="1" applyFont="1" applyBorder="1"/>
    <xf numFmtId="166" fontId="11" fillId="0" borderId="2" xfId="0" applyNumberFormat="1" applyFont="1" applyBorder="1"/>
    <xf numFmtId="3" fontId="16" fillId="0" borderId="2" xfId="0" applyNumberFormat="1" applyFont="1" applyBorder="1"/>
    <xf numFmtId="164" fontId="16" fillId="0" borderId="2" xfId="0" applyNumberFormat="1" applyFont="1" applyBorder="1"/>
    <xf numFmtId="0" fontId="12" fillId="0" borderId="2" xfId="0" applyFont="1" applyBorder="1" applyAlignment="1">
      <alignment horizontal="left"/>
    </xf>
    <xf numFmtId="170" fontId="16" fillId="0" borderId="2"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A0F8C"/>
      <rgbColor rgb="FF008080"/>
      <rgbColor rgb="FFB8C2BE"/>
      <rgbColor rgb="FF6B767C"/>
      <rgbColor rgb="FF9999FF"/>
      <rgbColor rgb="FF993366"/>
      <rgbColor rgb="FFFFF6DC"/>
      <rgbColor rgb="FFDDEFEC"/>
      <rgbColor rgb="FF660066"/>
      <rgbColor rgb="FFFF8080"/>
      <rgbColor rgb="FF0066CC"/>
      <rgbColor rgb="FFEDDC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5B57"/>
      <rgbColor rgb="FF339966"/>
      <rgbColor rgb="FF003300"/>
      <rgbColor rgb="FF333300"/>
      <rgbColor rgb="FFB3261E"/>
      <rgbColor rgb="FF993366"/>
      <rgbColor rgb="FF333399"/>
      <rgbColor rgb="FF1F2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9"/>
  <sheetViews>
    <sheetView showGridLines="0" zoomScale="110" zoomScaleNormal="110" workbookViewId="0"/>
  </sheetViews>
  <sheetFormatPr baseColWidth="10" defaultColWidth="8.6640625" defaultRowHeight="15" x14ac:dyDescent="0.2"/>
  <cols>
    <col min="1" max="1" width="2" customWidth="1"/>
    <col min="2" max="2" width="26" customWidth="1"/>
    <col min="3" max="3" width="96" customWidth="1"/>
  </cols>
  <sheetData>
    <row r="2" spans="2:3" ht="23" x14ac:dyDescent="0.25">
      <c r="B2" s="2" t="s">
        <v>0</v>
      </c>
    </row>
    <row r="3" spans="2:3" x14ac:dyDescent="0.2">
      <c r="B3" s="3" t="s">
        <v>1</v>
      </c>
    </row>
    <row r="6" spans="2:3" x14ac:dyDescent="0.2">
      <c r="B6" s="4" t="s">
        <v>2</v>
      </c>
      <c r="C6" s="5"/>
    </row>
    <row r="7" spans="2:3" ht="42" x14ac:dyDescent="0.2">
      <c r="B7" s="6"/>
      <c r="C7" s="7" t="s">
        <v>3</v>
      </c>
    </row>
    <row r="9" spans="2:3" x14ac:dyDescent="0.2">
      <c r="B9" s="4" t="s">
        <v>4</v>
      </c>
      <c r="C9" s="5"/>
    </row>
    <row r="10" spans="2:3" x14ac:dyDescent="0.2">
      <c r="B10" s="6" t="s">
        <v>5</v>
      </c>
      <c r="C10" s="7" t="s">
        <v>6</v>
      </c>
    </row>
    <row r="11" spans="2:3" x14ac:dyDescent="0.2">
      <c r="B11" s="6" t="s">
        <v>7</v>
      </c>
      <c r="C11" s="7" t="s">
        <v>8</v>
      </c>
    </row>
    <row r="13" spans="2:3" x14ac:dyDescent="0.2">
      <c r="B13" s="4" t="s">
        <v>9</v>
      </c>
      <c r="C13" s="5"/>
    </row>
    <row r="14" spans="2:3" ht="28" x14ac:dyDescent="0.2">
      <c r="B14" s="6" t="s">
        <v>10</v>
      </c>
      <c r="C14" s="7" t="s">
        <v>11</v>
      </c>
    </row>
    <row r="15" spans="2:3" ht="28" x14ac:dyDescent="0.2">
      <c r="B15" s="6" t="s">
        <v>12</v>
      </c>
      <c r="C15" s="7" t="s">
        <v>13</v>
      </c>
    </row>
    <row r="17" spans="2:3" x14ac:dyDescent="0.2">
      <c r="B17" s="4" t="s">
        <v>14</v>
      </c>
      <c r="C17" s="5"/>
    </row>
    <row r="18" spans="2:3" x14ac:dyDescent="0.2">
      <c r="B18" s="6" t="s">
        <v>15</v>
      </c>
      <c r="C18" s="7" t="s">
        <v>16</v>
      </c>
    </row>
    <row r="19" spans="2:3" x14ac:dyDescent="0.2">
      <c r="B19" s="6" t="s">
        <v>17</v>
      </c>
      <c r="C19" s="7" t="s">
        <v>18</v>
      </c>
    </row>
    <row r="20" spans="2:3" x14ac:dyDescent="0.2">
      <c r="B20" s="6" t="s">
        <v>19</v>
      </c>
      <c r="C20" s="7" t="s">
        <v>20</v>
      </c>
    </row>
    <row r="21" spans="2:3" x14ac:dyDescent="0.2">
      <c r="B21" s="6" t="s">
        <v>21</v>
      </c>
      <c r="C21" s="7" t="s">
        <v>22</v>
      </c>
    </row>
    <row r="22" spans="2:3" x14ac:dyDescent="0.2">
      <c r="B22" s="6" t="s">
        <v>23</v>
      </c>
      <c r="C22" s="7" t="s">
        <v>24</v>
      </c>
    </row>
    <row r="24" spans="2:3" x14ac:dyDescent="0.2">
      <c r="B24" s="4" t="s">
        <v>25</v>
      </c>
      <c r="C24" s="5"/>
    </row>
    <row r="25" spans="2:3" x14ac:dyDescent="0.2">
      <c r="B25" s="6" t="s">
        <v>26</v>
      </c>
      <c r="C25" s="7" t="s">
        <v>27</v>
      </c>
    </row>
    <row r="26" spans="2:3" ht="28" x14ac:dyDescent="0.2">
      <c r="B26" s="6" t="s">
        <v>28</v>
      </c>
      <c r="C26" s="7" t="s">
        <v>29</v>
      </c>
    </row>
    <row r="27" spans="2:3" ht="28" x14ac:dyDescent="0.2">
      <c r="B27" s="6" t="s">
        <v>30</v>
      </c>
      <c r="C27" s="7" t="s">
        <v>31</v>
      </c>
    </row>
    <row r="28" spans="2:3" ht="28" x14ac:dyDescent="0.2">
      <c r="B28" s="6" t="s">
        <v>32</v>
      </c>
      <c r="C28" s="7" t="s">
        <v>33</v>
      </c>
    </row>
    <row r="29" spans="2:3" ht="28" x14ac:dyDescent="0.2">
      <c r="B29" s="6" t="s">
        <v>34</v>
      </c>
      <c r="C29" s="7" t="s">
        <v>35</v>
      </c>
    </row>
    <row r="31" spans="2:3" x14ac:dyDescent="0.2">
      <c r="B31" s="4" t="s">
        <v>36</v>
      </c>
      <c r="C31" s="5"/>
    </row>
    <row r="32" spans="2:3" ht="42" x14ac:dyDescent="0.2">
      <c r="B32" s="6" t="s">
        <v>37</v>
      </c>
      <c r="C32" s="7" t="s">
        <v>38</v>
      </c>
    </row>
    <row r="33" spans="2:3" ht="42" x14ac:dyDescent="0.2">
      <c r="B33" s="6" t="s">
        <v>39</v>
      </c>
      <c r="C33" s="7" t="s">
        <v>40</v>
      </c>
    </row>
    <row r="35" spans="2:3" x14ac:dyDescent="0.2">
      <c r="B35" s="4" t="s">
        <v>41</v>
      </c>
      <c r="C35" s="5"/>
    </row>
    <row r="36" spans="2:3" x14ac:dyDescent="0.2">
      <c r="B36" s="6"/>
      <c r="C36" s="7" t="s">
        <v>42</v>
      </c>
    </row>
    <row r="37" spans="2:3" x14ac:dyDescent="0.2">
      <c r="B37" s="6"/>
      <c r="C37" s="7" t="s">
        <v>43</v>
      </c>
    </row>
    <row r="38" spans="2:3" ht="28" x14ac:dyDescent="0.2">
      <c r="B38" s="6"/>
      <c r="C38" s="7" t="s">
        <v>44</v>
      </c>
    </row>
    <row r="39" spans="2:3" x14ac:dyDescent="0.2">
      <c r="B39" s="6"/>
      <c r="C39" s="7" t="s">
        <v>45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5"/>
  <sheetViews>
    <sheetView zoomScale="110" zoomScaleNormal="110"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5" x14ac:dyDescent="0.2"/>
  <cols>
    <col min="1" max="1" width="2" customWidth="1"/>
    <col min="2" max="2" width="48" customWidth="1"/>
    <col min="3" max="4" width="16" customWidth="1"/>
    <col min="5" max="5" width="56" customWidth="1"/>
    <col min="6" max="6" width="52" customWidth="1"/>
  </cols>
  <sheetData>
    <row r="1" spans="2:6" ht="19" x14ac:dyDescent="0.2">
      <c r="B1" s="8" t="s">
        <v>106</v>
      </c>
    </row>
    <row r="2" spans="2:6" x14ac:dyDescent="0.2">
      <c r="B2" s="9" t="s">
        <v>107</v>
      </c>
    </row>
    <row r="4" spans="2:6" x14ac:dyDescent="0.2">
      <c r="B4" s="10" t="s">
        <v>108</v>
      </c>
      <c r="C4" s="11"/>
      <c r="D4" s="11"/>
      <c r="E4" s="11"/>
      <c r="F4" s="11"/>
    </row>
    <row r="5" spans="2:6" x14ac:dyDescent="0.2">
      <c r="B5" s="21" t="s">
        <v>109</v>
      </c>
      <c r="C5" s="22" t="s">
        <v>110</v>
      </c>
      <c r="D5" s="22" t="s">
        <v>111</v>
      </c>
      <c r="E5" s="22" t="s">
        <v>112</v>
      </c>
      <c r="F5" s="23" t="s">
        <v>113</v>
      </c>
    </row>
    <row r="6" spans="2:6" x14ac:dyDescent="0.2">
      <c r="B6" s="12" t="s">
        <v>114</v>
      </c>
      <c r="C6" s="24">
        <v>1.5</v>
      </c>
      <c r="D6" s="24">
        <v>0.15</v>
      </c>
      <c r="E6" s="24">
        <v>9</v>
      </c>
      <c r="F6" s="14" t="s">
        <v>115</v>
      </c>
    </row>
    <row r="7" spans="2:6" x14ac:dyDescent="0.2">
      <c r="B7" s="12" t="s">
        <v>116</v>
      </c>
      <c r="C7" s="24">
        <v>0.3</v>
      </c>
      <c r="D7" s="24">
        <v>0.03</v>
      </c>
      <c r="E7" s="24">
        <v>2.5</v>
      </c>
      <c r="F7" s="14"/>
    </row>
    <row r="8" spans="2:6" x14ac:dyDescent="0.2">
      <c r="B8" s="12" t="s">
        <v>117</v>
      </c>
      <c r="C8" s="24">
        <v>2</v>
      </c>
      <c r="D8" s="24">
        <v>0.2</v>
      </c>
      <c r="E8" s="24">
        <v>12</v>
      </c>
      <c r="F8" s="14" t="s">
        <v>118</v>
      </c>
    </row>
    <row r="9" spans="2:6" x14ac:dyDescent="0.2">
      <c r="B9" s="14" t="s">
        <v>119</v>
      </c>
    </row>
    <row r="11" spans="2:6" x14ac:dyDescent="0.2">
      <c r="B11" s="10" t="s">
        <v>120</v>
      </c>
      <c r="C11" s="11"/>
      <c r="D11" s="11"/>
      <c r="E11" s="11"/>
      <c r="F11" s="11"/>
    </row>
    <row r="12" spans="2:6" x14ac:dyDescent="0.2">
      <c r="B12" s="12" t="s">
        <v>121</v>
      </c>
      <c r="C12" s="25">
        <v>675</v>
      </c>
      <c r="D12" s="14" t="s">
        <v>122</v>
      </c>
      <c r="E12" s="14" t="s">
        <v>123</v>
      </c>
    </row>
    <row r="13" spans="2:6" x14ac:dyDescent="0.2">
      <c r="B13" s="12" t="s">
        <v>124</v>
      </c>
      <c r="C13" s="26">
        <v>1</v>
      </c>
      <c r="D13" s="14" t="s">
        <v>66</v>
      </c>
      <c r="E13" s="14"/>
    </row>
    <row r="14" spans="2:6" x14ac:dyDescent="0.2">
      <c r="B14" s="12" t="s">
        <v>125</v>
      </c>
      <c r="C14" s="26">
        <v>0.1</v>
      </c>
      <c r="D14" s="14" t="s">
        <v>66</v>
      </c>
      <c r="E14" s="14"/>
    </row>
    <row r="15" spans="2:6" x14ac:dyDescent="0.2">
      <c r="B15" s="12" t="s">
        <v>126</v>
      </c>
      <c r="C15" s="26">
        <v>6</v>
      </c>
      <c r="D15" s="14" t="s">
        <v>66</v>
      </c>
      <c r="E15" s="14" t="s">
        <v>127</v>
      </c>
    </row>
    <row r="16" spans="2:6" x14ac:dyDescent="0.2">
      <c r="B16" s="12" t="s">
        <v>128</v>
      </c>
      <c r="C16" s="24">
        <v>1.5</v>
      </c>
      <c r="D16" s="14" t="s">
        <v>129</v>
      </c>
      <c r="E16" s="14" t="s">
        <v>130</v>
      </c>
    </row>
    <row r="17" spans="2:6" x14ac:dyDescent="0.2">
      <c r="B17" s="12" t="s">
        <v>131</v>
      </c>
      <c r="C17" s="27">
        <v>0.1</v>
      </c>
      <c r="D17" s="14" t="s">
        <v>61</v>
      </c>
      <c r="E17" s="14" t="s">
        <v>132</v>
      </c>
    </row>
    <row r="18" spans="2:6" x14ac:dyDescent="0.2">
      <c r="B18" s="12" t="s">
        <v>133</v>
      </c>
      <c r="C18" s="25">
        <v>4096</v>
      </c>
      <c r="D18" s="14" t="s">
        <v>73</v>
      </c>
      <c r="E18" s="14" t="s">
        <v>134</v>
      </c>
    </row>
    <row r="19" spans="2:6" x14ac:dyDescent="0.2">
      <c r="B19" s="18" t="s">
        <v>135</v>
      </c>
      <c r="C19" s="28" t="str">
        <f>IF(AND(ABS($D$6-$C$6*C14)&lt;0.0001,ABS($E$6-$C$6*C15)&lt;0.0001,ABS(C16-$C$6)&lt;0.0001),"OK — exact","APPROXIMATE — prices no longer mirror the burndown weights")</f>
        <v>OK — exact</v>
      </c>
      <c r="E19" s="14" t="s">
        <v>136</v>
      </c>
    </row>
    <row r="21" spans="2:6" x14ac:dyDescent="0.2">
      <c r="B21" s="10" t="s">
        <v>137</v>
      </c>
      <c r="C21" s="11"/>
      <c r="D21" s="11"/>
      <c r="E21" s="11"/>
      <c r="F21" s="11"/>
    </row>
    <row r="22" spans="2:6" x14ac:dyDescent="0.2">
      <c r="B22" s="12" t="s">
        <v>138</v>
      </c>
      <c r="C22" s="24">
        <v>7.14</v>
      </c>
      <c r="D22" s="14" t="s">
        <v>129</v>
      </c>
      <c r="E22" s="14"/>
    </row>
    <row r="23" spans="2:6" x14ac:dyDescent="0.2">
      <c r="B23" s="12" t="s">
        <v>139</v>
      </c>
      <c r="C23" s="24">
        <v>3.7</v>
      </c>
      <c r="D23" s="14" t="s">
        <v>129</v>
      </c>
      <c r="E23" s="14"/>
    </row>
    <row r="24" spans="2:6" x14ac:dyDescent="0.2">
      <c r="B24" s="12" t="s">
        <v>140</v>
      </c>
      <c r="C24" s="24">
        <v>3.29</v>
      </c>
      <c r="D24" s="14" t="s">
        <v>129</v>
      </c>
      <c r="E24" s="14"/>
    </row>
    <row r="25" spans="2:6" x14ac:dyDescent="0.2">
      <c r="B25" s="12" t="s">
        <v>141</v>
      </c>
      <c r="C25" s="24">
        <v>2.74</v>
      </c>
      <c r="D25" s="14" t="s">
        <v>129</v>
      </c>
      <c r="E25" s="14" t="s">
        <v>142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44"/>
  <sheetViews>
    <sheetView zoomScale="110" zoomScaleNormal="110" workbookViewId="0">
      <pane xSplit="2" ySplit="4" topLeftCell="C5" activePane="bottomRight" state="frozen"/>
      <selection pane="topRight" activeCell="C1" sqref="C1"/>
      <selection pane="bottomLeft" activeCell="A5" sqref="A5"/>
      <selection pane="bottomRight" activeCell="C7" sqref="C7"/>
    </sheetView>
  </sheetViews>
  <sheetFormatPr baseColWidth="10" defaultColWidth="8.6640625" defaultRowHeight="15" x14ac:dyDescent="0.2"/>
  <cols>
    <col min="1" max="1" width="2" customWidth="1"/>
    <col min="2" max="2" width="46" customWidth="1"/>
    <col min="3" max="4" width="19" customWidth="1"/>
    <col min="7" max="7" width="62" customWidth="1"/>
  </cols>
  <sheetData>
    <row r="1" spans="2:7" ht="19" x14ac:dyDescent="0.2">
      <c r="B1" s="8" t="s">
        <v>143</v>
      </c>
    </row>
    <row r="2" spans="2:7" x14ac:dyDescent="0.2">
      <c r="B2" s="9" t="s">
        <v>144</v>
      </c>
    </row>
    <row r="4" spans="2:7" x14ac:dyDescent="0.2">
      <c r="B4" s="10" t="s">
        <v>145</v>
      </c>
      <c r="C4" s="11"/>
      <c r="D4" s="11"/>
      <c r="E4" s="11"/>
      <c r="F4" s="11"/>
    </row>
    <row r="5" spans="2:7" x14ac:dyDescent="0.2">
      <c r="B5" s="12" t="s">
        <v>146</v>
      </c>
      <c r="C5" s="29">
        <f>Inputs!$C$5/86400</f>
        <v>0.76388888888888884</v>
      </c>
      <c r="G5" s="14"/>
    </row>
    <row r="6" spans="2:7" x14ac:dyDescent="0.2">
      <c r="B6" s="12" t="s">
        <v>147</v>
      </c>
      <c r="C6" s="30">
        <f>C5*Inputs!$C$6</f>
        <v>0.91666666666666652</v>
      </c>
      <c r="G6" s="14"/>
    </row>
    <row r="7" spans="2:7" x14ac:dyDescent="0.2">
      <c r="B7" s="31" t="s">
        <v>148</v>
      </c>
      <c r="C7" s="32">
        <f>C6*Inputs!$C$11</f>
        <v>2.7499999999999996</v>
      </c>
      <c r="G7" s="14"/>
    </row>
    <row r="8" spans="2:7" x14ac:dyDescent="0.2">
      <c r="B8" s="12" t="s">
        <v>149</v>
      </c>
      <c r="C8" s="30">
        <f>C6*Inputs!$C$7</f>
        <v>3.0249999999999995</v>
      </c>
      <c r="G8" s="14"/>
    </row>
    <row r="9" spans="2:7" x14ac:dyDescent="0.2">
      <c r="B9" s="12" t="s">
        <v>150</v>
      </c>
      <c r="C9" s="30">
        <f>C8*Inputs!$C$11</f>
        <v>9.0749999999999993</v>
      </c>
      <c r="G9" s="14"/>
    </row>
    <row r="10" spans="2:7" x14ac:dyDescent="0.2">
      <c r="B10" s="12" t="s">
        <v>151</v>
      </c>
      <c r="C10" s="33">
        <f>Inputs!$C$5/24*Inputs!$C$11*Inputs!$C$12</f>
        <v>24750</v>
      </c>
      <c r="G10" s="14" t="s">
        <v>152</v>
      </c>
    </row>
    <row r="11" spans="2:7" x14ac:dyDescent="0.2">
      <c r="B11" s="12" t="s">
        <v>153</v>
      </c>
      <c r="C11" s="33">
        <f>Inputs!$C$5-C10</f>
        <v>41250</v>
      </c>
      <c r="G11" s="14"/>
    </row>
    <row r="12" spans="2:7" x14ac:dyDescent="0.2">
      <c r="B12" s="12" t="s">
        <v>154</v>
      </c>
      <c r="C12" s="30">
        <f>C11/(24-Inputs!$C$12)*Inputs!$C$6*Inputs!$C$7/3600</f>
        <v>2.1607142857142856</v>
      </c>
      <c r="G12" s="14"/>
    </row>
    <row r="13" spans="2:7" x14ac:dyDescent="0.2">
      <c r="B13" s="12" t="s">
        <v>155</v>
      </c>
      <c r="C13" s="30">
        <f>C7*Inputs!$C$8</f>
        <v>8.2499999999999982</v>
      </c>
      <c r="G13" s="14" t="s">
        <v>156</v>
      </c>
    </row>
    <row r="14" spans="2:7" x14ac:dyDescent="0.2">
      <c r="B14" s="12" t="s">
        <v>157</v>
      </c>
      <c r="C14" s="28" t="str">
        <f>IF(Inputs!$C$12*Inputs!$C$11&lt;24,"OK","FIX — the peak block exceeds the day's volume")</f>
        <v>OK</v>
      </c>
      <c r="G14" s="14"/>
    </row>
    <row r="16" spans="2:7" x14ac:dyDescent="0.2">
      <c r="B16" s="10" t="s">
        <v>158</v>
      </c>
      <c r="C16" s="11"/>
      <c r="D16" s="11"/>
      <c r="E16" s="11"/>
      <c r="F16" s="11"/>
    </row>
    <row r="17" spans="2:7" ht="30" customHeight="1" x14ac:dyDescent="0.2">
      <c r="B17" s="34"/>
      <c r="C17" s="35" t="s">
        <v>159</v>
      </c>
      <c r="D17" s="35" t="s">
        <v>7</v>
      </c>
      <c r="G17" s="23" t="s">
        <v>113</v>
      </c>
    </row>
    <row r="18" spans="2:7" x14ac:dyDescent="0.2">
      <c r="B18" s="31" t="s">
        <v>160</v>
      </c>
      <c r="C18" s="36">
        <f>Inputs!$C$15</f>
        <v>15836</v>
      </c>
      <c r="D18" s="36">
        <f>Inputs!$C$16</f>
        <v>68809</v>
      </c>
      <c r="G18" s="14" t="s">
        <v>161</v>
      </c>
    </row>
    <row r="19" spans="2:7" x14ac:dyDescent="0.2">
      <c r="B19" s="12" t="s">
        <v>162</v>
      </c>
      <c r="C19" s="33">
        <f>Inputs!$C$17</f>
        <v>9266</v>
      </c>
      <c r="D19" s="33">
        <f>Inputs!$C$17</f>
        <v>9266</v>
      </c>
      <c r="G19" s="14" t="s">
        <v>163</v>
      </c>
    </row>
    <row r="20" spans="2:7" x14ac:dyDescent="0.2">
      <c r="B20" s="12" t="s">
        <v>164</v>
      </c>
      <c r="C20" s="19">
        <f>IF(C19&gt;='Platform rates'!$C$18,Inputs!$C$18,0)</f>
        <v>0.67200000000000004</v>
      </c>
      <c r="D20" s="19">
        <f>IF(D19&gt;='Platform rates'!$C$18,Inputs!$C$18,0)</f>
        <v>0.67200000000000004</v>
      </c>
      <c r="G20" s="14" t="s">
        <v>165</v>
      </c>
    </row>
    <row r="21" spans="2:7" x14ac:dyDescent="0.2">
      <c r="B21" s="12" t="s">
        <v>166</v>
      </c>
      <c r="C21" s="33">
        <f>MIN(C19,C18)*C20</f>
        <v>6226.7520000000004</v>
      </c>
      <c r="D21" s="33">
        <f>MIN(D19,D18)*D20</f>
        <v>6226.7520000000004</v>
      </c>
      <c r="G21" s="14" t="s">
        <v>167</v>
      </c>
    </row>
    <row r="22" spans="2:7" x14ac:dyDescent="0.2">
      <c r="B22" s="12" t="s">
        <v>168</v>
      </c>
      <c r="C22" s="33">
        <f>C18-C21</f>
        <v>9609.2479999999996</v>
      </c>
      <c r="D22" s="33">
        <f>D18-D21</f>
        <v>62582.248</v>
      </c>
      <c r="G22" s="14" t="s">
        <v>169</v>
      </c>
    </row>
    <row r="23" spans="2:7" x14ac:dyDescent="0.2">
      <c r="B23" s="31" t="s">
        <v>170</v>
      </c>
      <c r="C23" s="37">
        <f>C21/C18</f>
        <v>0.39320232381914627</v>
      </c>
      <c r="D23" s="37">
        <f>D21/D18</f>
        <v>9.0493278495545643E-2</v>
      </c>
      <c r="G23" s="14" t="s">
        <v>171</v>
      </c>
    </row>
    <row r="24" spans="2:7" x14ac:dyDescent="0.2">
      <c r="B24" s="12" t="s">
        <v>172</v>
      </c>
      <c r="C24" s="33">
        <f>Inputs!$C$19</f>
        <v>529</v>
      </c>
      <c r="D24" s="33">
        <f>Inputs!$C$19</f>
        <v>529</v>
      </c>
      <c r="G24" s="14" t="s">
        <v>173</v>
      </c>
    </row>
    <row r="25" spans="2:7" x14ac:dyDescent="0.2">
      <c r="B25" s="31" t="s">
        <v>174</v>
      </c>
      <c r="C25" s="32">
        <f>Inputs!$C$9+Inputs!$C$7*(C18-Inputs!$C$15)/1000*'Platform rates'!$C$17</f>
        <v>6</v>
      </c>
      <c r="D25" s="32">
        <f>Inputs!$C$9+Inputs!$C$7*(D18-Inputs!$C$15)/1000*'Platform rates'!$C$17</f>
        <v>23.481090000000002</v>
      </c>
      <c r="G25" s="14" t="s">
        <v>175</v>
      </c>
    </row>
    <row r="26" spans="2:7" x14ac:dyDescent="0.2">
      <c r="B26" s="12" t="s">
        <v>176</v>
      </c>
      <c r="C26" s="38" t="str">
        <f>IF(C19&gt;='Platform rates'!$C$18,"Yes","No — no caching at all")</f>
        <v>Yes</v>
      </c>
      <c r="D26" s="38" t="str">
        <f>IF(D19&gt;='Platform rates'!$C$18,"Yes","No — no caching at all")</f>
        <v>Yes</v>
      </c>
      <c r="G26" s="14"/>
    </row>
    <row r="28" spans="2:7" x14ac:dyDescent="0.2">
      <c r="B28" s="10" t="s">
        <v>177</v>
      </c>
      <c r="C28" s="11"/>
      <c r="D28" s="11"/>
      <c r="E28" s="11"/>
      <c r="F28" s="11"/>
    </row>
    <row r="29" spans="2:7" x14ac:dyDescent="0.2">
      <c r="B29" s="12" t="s">
        <v>178</v>
      </c>
      <c r="C29" s="33">
        <f>$C$8*C18*60</f>
        <v>2874233.9999999995</v>
      </c>
      <c r="D29" s="33">
        <f>$C$8*D18*60</f>
        <v>12488833.499999998</v>
      </c>
      <c r="G29" s="14"/>
    </row>
    <row r="30" spans="2:7" x14ac:dyDescent="0.2">
      <c r="B30" s="12" t="s">
        <v>179</v>
      </c>
      <c r="C30" s="33">
        <f>$C$9*C18*60</f>
        <v>8622701.9999999981</v>
      </c>
      <c r="D30" s="33">
        <f>$C$9*D18*60</f>
        <v>37466500.499999993</v>
      </c>
      <c r="G30" s="14"/>
    </row>
    <row r="31" spans="2:7" x14ac:dyDescent="0.2">
      <c r="B31" s="12" t="s">
        <v>180</v>
      </c>
      <c r="C31" s="33">
        <f>$C$9*C24*60</f>
        <v>288040.49999999994</v>
      </c>
      <c r="D31" s="33">
        <f>$C$9*D24*60</f>
        <v>288040.49999999994</v>
      </c>
      <c r="G31" s="14"/>
    </row>
    <row r="32" spans="2:7" x14ac:dyDescent="0.2">
      <c r="B32" s="12" t="s">
        <v>181</v>
      </c>
      <c r="C32" s="39">
        <f>C29/Inputs!$C$29</f>
        <v>0.28742339999999994</v>
      </c>
      <c r="D32" s="39">
        <f>D29/Inputs!$C$29</f>
        <v>1.2488833499999998</v>
      </c>
      <c r="G32" s="14"/>
    </row>
    <row r="33" spans="2:7" x14ac:dyDescent="0.2">
      <c r="B33" s="31" t="s">
        <v>182</v>
      </c>
      <c r="C33" s="40">
        <f>C30/Inputs!$C$29</f>
        <v>0.86227019999999976</v>
      </c>
      <c r="D33" s="40">
        <f>D30/Inputs!$C$29</f>
        <v>3.7466500499999991</v>
      </c>
      <c r="G33" s="14" t="s">
        <v>183</v>
      </c>
    </row>
    <row r="34" spans="2:7" x14ac:dyDescent="0.2">
      <c r="B34" s="12" t="s">
        <v>184</v>
      </c>
      <c r="C34" s="41" t="str">
        <f>IF(C33&lt;=0.8,"Comfortable",IF(C33&lt;=1,"Close to the baseline","Above the baseline — shape demand or buy capacity"))</f>
        <v>Close to the baseline</v>
      </c>
      <c r="D34" s="41" t="str">
        <f>IF(D33&lt;=0.8,"Comfortable",IF(D33&lt;=1,"Close to the baseline","Above the baseline — shape demand or buy capacity"))</f>
        <v>Above the baseline — shape demand or buy capacity</v>
      </c>
      <c r="G34" s="14" t="s">
        <v>185</v>
      </c>
    </row>
    <row r="36" spans="2:7" x14ac:dyDescent="0.2">
      <c r="B36" s="10" t="s">
        <v>186</v>
      </c>
      <c r="C36" s="11"/>
      <c r="D36" s="11"/>
      <c r="E36" s="11"/>
      <c r="F36" s="11"/>
    </row>
    <row r="37" spans="2:7" x14ac:dyDescent="0.2">
      <c r="B37" s="12" t="s">
        <v>187</v>
      </c>
      <c r="C37" s="33">
        <f>$C$7*C25</f>
        <v>16.499999999999996</v>
      </c>
      <c r="D37" s="33">
        <f>$C$7*D25</f>
        <v>64.5729975</v>
      </c>
      <c r="G37" s="14" t="s">
        <v>188</v>
      </c>
    </row>
    <row r="38" spans="2:7" x14ac:dyDescent="0.2">
      <c r="B38" s="12" t="s">
        <v>189</v>
      </c>
      <c r="C38" s="33">
        <f>$C$7*(C25+Inputs!$C$10)</f>
        <v>181.49999999999997</v>
      </c>
      <c r="D38" s="33">
        <f>$C$7*(D25+Inputs!$C$10)</f>
        <v>229.57299749999996</v>
      </c>
      <c r="G38" s="14" t="s">
        <v>190</v>
      </c>
    </row>
    <row r="39" spans="2:7" x14ac:dyDescent="0.2">
      <c r="B39" s="12" t="s">
        <v>191</v>
      </c>
      <c r="C39" s="33">
        <f>Inputs!$C$7*(C18+C24)</f>
        <v>54004.5</v>
      </c>
      <c r="D39" s="33">
        <f>Inputs!$C$7*(D18+D24)</f>
        <v>228815.4</v>
      </c>
      <c r="G39" s="14"/>
    </row>
    <row r="40" spans="2:7" x14ac:dyDescent="0.2">
      <c r="B40" s="12" t="s">
        <v>192</v>
      </c>
      <c r="C40" s="33">
        <f>C39/C25</f>
        <v>9000.75</v>
      </c>
      <c r="D40" s="33">
        <f>D39/D25</f>
        <v>9744.6668787522212</v>
      </c>
      <c r="G40" s="14"/>
    </row>
    <row r="41" spans="2:7" x14ac:dyDescent="0.2">
      <c r="B41" s="31" t="s">
        <v>193</v>
      </c>
      <c r="C41" s="36">
        <f>Inputs!$C$29/60/C40</f>
        <v>18.51697543723208</v>
      </c>
      <c r="D41" s="36">
        <f>Inputs!$C$29/60/D40</f>
        <v>17.103372412870812</v>
      </c>
      <c r="G41" s="14" t="s">
        <v>194</v>
      </c>
    </row>
    <row r="42" spans="2:7" x14ac:dyDescent="0.2">
      <c r="B42" s="31" t="s">
        <v>195</v>
      </c>
      <c r="C42" s="32">
        <f>C41/C25</f>
        <v>3.0861625728720132</v>
      </c>
      <c r="D42" s="32">
        <f>D41/D25</f>
        <v>0.72838920224192361</v>
      </c>
      <c r="G42" s="14"/>
    </row>
    <row r="43" spans="2:7" x14ac:dyDescent="0.2">
      <c r="B43" s="12" t="s">
        <v>196</v>
      </c>
      <c r="C43" s="30">
        <f>C42-$C$7</f>
        <v>0.33616257287201368</v>
      </c>
      <c r="D43" s="30">
        <f>D42-$C$7</f>
        <v>-2.021610797758076</v>
      </c>
      <c r="G43" s="14" t="s">
        <v>197</v>
      </c>
    </row>
    <row r="44" spans="2:7" x14ac:dyDescent="0.2">
      <c r="B44" s="31" t="s">
        <v>198</v>
      </c>
      <c r="C44" s="37">
        <f>MAX(0,1-C42/$C$7)</f>
        <v>0</v>
      </c>
      <c r="D44" s="37">
        <f>MAX(0,1-D42/$C$7)</f>
        <v>0.735131199184755</v>
      </c>
      <c r="G44" s="14" t="s">
        <v>199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4"/>
  <sheetViews>
    <sheetView zoomScale="110" zoomScaleNormal="110" workbookViewId="0">
      <pane xSplit="2" ySplit="3" topLeftCell="C4" activePane="bottomRight" state="frozen"/>
      <selection pane="topRight" activeCell="C1" sqref="C1"/>
      <selection pane="bottomLeft" activeCell="A4" sqref="A4"/>
      <selection pane="bottomRight" activeCell="C16" sqref="C16"/>
    </sheetView>
  </sheetViews>
  <sheetFormatPr baseColWidth="10" defaultColWidth="8.6640625" defaultRowHeight="15" x14ac:dyDescent="0.2"/>
  <cols>
    <col min="1" max="1" width="2" customWidth="1"/>
    <col min="2" max="2" width="46" customWidth="1"/>
    <col min="3" max="4" width="19" customWidth="1"/>
    <col min="7" max="7" width="60" customWidth="1"/>
  </cols>
  <sheetData>
    <row r="1" spans="2:7" ht="19" x14ac:dyDescent="0.2">
      <c r="B1" s="8" t="s">
        <v>200</v>
      </c>
    </row>
    <row r="2" spans="2:7" x14ac:dyDescent="0.2">
      <c r="B2" s="9" t="s">
        <v>201</v>
      </c>
    </row>
    <row r="4" spans="2:7" x14ac:dyDescent="0.2">
      <c r="B4" s="10" t="s">
        <v>202</v>
      </c>
      <c r="C4" s="11"/>
      <c r="D4" s="11"/>
      <c r="E4" s="11"/>
      <c r="F4" s="11"/>
    </row>
    <row r="5" spans="2:7" ht="30" customHeight="1" x14ac:dyDescent="0.2">
      <c r="B5" s="34"/>
      <c r="C5" s="35" t="s">
        <v>159</v>
      </c>
      <c r="D5" s="35" t="s">
        <v>7</v>
      </c>
      <c r="G5" s="23" t="s">
        <v>113</v>
      </c>
    </row>
    <row r="6" spans="2:7" x14ac:dyDescent="0.2">
      <c r="B6" s="12" t="s">
        <v>86</v>
      </c>
      <c r="C6" s="42">
        <f>(Demand!C22*'Platform rates'!$C$6+Demand!C21*'Platform rates'!$D$6+Demand!C24*'Platform rates'!$E$6)/1000000</f>
        <v>2.0108884800000001E-2</v>
      </c>
      <c r="D6" s="42">
        <f>(Demand!D22*'Platform rates'!$C$6+Demand!D21*'Platform rates'!$D$6+Demand!D24*'Platform rates'!$E$6)/1000000</f>
        <v>9.9568384800000007E-2</v>
      </c>
      <c r="G6" s="14"/>
    </row>
    <row r="7" spans="2:7" x14ac:dyDescent="0.2">
      <c r="B7" s="12" t="s">
        <v>87</v>
      </c>
      <c r="C7" s="42">
        <f>(Demand!C22*'Platform rates'!$C$7+Demand!C21*'Platform rates'!$D$7+Demand!C24*'Platform rates'!$E$7)/1000000</f>
        <v>4.3920769600000005E-3</v>
      </c>
      <c r="D7" s="42">
        <f>(Demand!D22*'Platform rates'!$C$7+Demand!D21*'Platform rates'!$D$7+Demand!D24*'Platform rates'!$E$7)/1000000</f>
        <v>2.0283976959999998E-2</v>
      </c>
      <c r="G7" s="14"/>
    </row>
    <row r="8" spans="2:7" x14ac:dyDescent="0.2">
      <c r="B8" s="12" t="s">
        <v>89</v>
      </c>
      <c r="C8" s="42">
        <f>(Demand!C22*'Platform rates'!$C$8+Demand!C21*'Platform rates'!$D$8+Demand!C24*'Platform rates'!$E$8)/1000000</f>
        <v>2.6811846399999999E-2</v>
      </c>
      <c r="D8" s="42">
        <f>(Demand!D22*'Platform rates'!$C$8+Demand!D21*'Platform rates'!$D$8+Demand!D24*'Platform rates'!$E$8)/1000000</f>
        <v>0.13275784639999999</v>
      </c>
      <c r="G8" s="14"/>
    </row>
    <row r="9" spans="2:7" x14ac:dyDescent="0.2">
      <c r="B9" s="31" t="s">
        <v>203</v>
      </c>
      <c r="C9" s="43">
        <f>C6*Inputs!$C$23+C7*Inputs!$C$24+C8*Inputs!$C$25</f>
        <v>2.0108884800000001E-2</v>
      </c>
      <c r="D9" s="43">
        <f>D6*Inputs!$C$23+D7*Inputs!$C$24+D8*Inputs!$C$25</f>
        <v>9.9568384800000007E-2</v>
      </c>
      <c r="G9" s="14" t="s">
        <v>204</v>
      </c>
    </row>
    <row r="10" spans="2:7" x14ac:dyDescent="0.2">
      <c r="B10" s="31" t="s">
        <v>205</v>
      </c>
      <c r="C10" s="44">
        <f>(Demand!C22*'Platform rates'!$C$6+Demand!C21*'Platform rates'!$D$6)/Demand!C18</f>
        <v>0.9691768628441525</v>
      </c>
      <c r="D10" s="44">
        <f>(Demand!D22*'Platform rates'!$C$6+Demand!D21*'Platform rates'!$D$6)/Demand!D18</f>
        <v>1.3778340740310133</v>
      </c>
      <c r="G10" s="14" t="s">
        <v>206</v>
      </c>
    </row>
    <row r="12" spans="2:7" x14ac:dyDescent="0.2">
      <c r="B12" s="10" t="s">
        <v>207</v>
      </c>
      <c r="C12" s="11"/>
      <c r="D12" s="11"/>
      <c r="E12" s="11"/>
      <c r="F12" s="11"/>
    </row>
    <row r="13" spans="2:7" x14ac:dyDescent="0.2">
      <c r="B13" s="12" t="s">
        <v>208</v>
      </c>
      <c r="C13" s="42">
        <f>C9*Inputs!$C$7</f>
        <v>6.635931984E-2</v>
      </c>
      <c r="D13" s="42">
        <f>D9*Inputs!$C$7</f>
        <v>0.32857566984000003</v>
      </c>
      <c r="G13" s="14"/>
    </row>
    <row r="14" spans="2:7" x14ac:dyDescent="0.2">
      <c r="B14" s="31" t="s">
        <v>209</v>
      </c>
      <c r="C14" s="44">
        <f>C13*Inputs!$C$6</f>
        <v>7.9631183807999995E-2</v>
      </c>
      <c r="D14" s="44">
        <f>D13*Inputs!$C$6</f>
        <v>0.39429080380800002</v>
      </c>
      <c r="G14" s="14" t="s">
        <v>210</v>
      </c>
    </row>
    <row r="15" spans="2:7" x14ac:dyDescent="0.2">
      <c r="B15" s="12" t="s">
        <v>211</v>
      </c>
      <c r="C15" s="33">
        <f>Inputs!$C$5*Inputs!$C$35</f>
        <v>1320000</v>
      </c>
      <c r="D15" s="33">
        <f>Inputs!$C$5*Inputs!$C$35</f>
        <v>1320000</v>
      </c>
      <c r="G15" s="14"/>
    </row>
    <row r="16" spans="2:7" x14ac:dyDescent="0.2">
      <c r="B16" s="31" t="s">
        <v>212</v>
      </c>
      <c r="C16" s="45">
        <f>C14*C15</f>
        <v>105113.16262655999</v>
      </c>
      <c r="D16" s="45">
        <f>D14*D15</f>
        <v>520463.86102656001</v>
      </c>
      <c r="G16" s="14" t="s">
        <v>213</v>
      </c>
    </row>
    <row r="17" spans="2:7" x14ac:dyDescent="0.2">
      <c r="B17" s="31" t="s">
        <v>214</v>
      </c>
      <c r="C17" s="37">
        <f>C16/$C$16-1</f>
        <v>0</v>
      </c>
      <c r="D17" s="37">
        <f>D16/$C$16-1</f>
        <v>3.9514622909371884</v>
      </c>
      <c r="G17" s="14" t="s">
        <v>215</v>
      </c>
    </row>
    <row r="18" spans="2:7" x14ac:dyDescent="0.2">
      <c r="B18" s="12" t="s">
        <v>216</v>
      </c>
      <c r="C18" s="46">
        <f>C16-$C$16</f>
        <v>0</v>
      </c>
      <c r="D18" s="46">
        <f>D16-$C$16</f>
        <v>415350.69839999999</v>
      </c>
      <c r="G18" s="14"/>
    </row>
    <row r="20" spans="2:7" x14ac:dyDescent="0.2">
      <c r="B20" s="10" t="s">
        <v>217</v>
      </c>
      <c r="C20" s="11"/>
      <c r="D20" s="11"/>
      <c r="E20" s="11"/>
      <c r="F20" s="11"/>
    </row>
    <row r="21" spans="2:7" ht="29" x14ac:dyDescent="0.2">
      <c r="B21" s="23" t="s">
        <v>218</v>
      </c>
      <c r="C21" s="35" t="s">
        <v>219</v>
      </c>
      <c r="D21" s="35" t="s">
        <v>220</v>
      </c>
      <c r="E21" s="35" t="s">
        <v>221</v>
      </c>
      <c r="G21" s="23" t="s">
        <v>113</v>
      </c>
    </row>
    <row r="22" spans="2:7" x14ac:dyDescent="0.2">
      <c r="B22" s="12" t="s">
        <v>222</v>
      </c>
      <c r="C22" s="47">
        <f>(Demand!$D$18*'Platform rates'!$C$6+Demand!$D$24*'Platform rates'!$E$6)/1000000*Inputs!$C$6*Inputs!$C$7</f>
        <v>0.42757901999999998</v>
      </c>
      <c r="D22" s="46">
        <f>C22*$D$15</f>
        <v>564404.3064</v>
      </c>
      <c r="E22" s="19">
        <f>C22/$C$22-1</f>
        <v>0</v>
      </c>
      <c r="G22" s="14" t="s">
        <v>223</v>
      </c>
    </row>
    <row r="23" spans="2:7" x14ac:dyDescent="0.2">
      <c r="B23" s="12" t="s">
        <v>224</v>
      </c>
      <c r="C23" s="47">
        <f>$D$6*Inputs!$C$6*Inputs!$C$7</f>
        <v>0.39429080380800002</v>
      </c>
      <c r="D23" s="46">
        <f>C23*$D$15</f>
        <v>520463.86102656001</v>
      </c>
      <c r="E23" s="19">
        <f>C23/$C$22-1</f>
        <v>-7.7852781906838975E-2</v>
      </c>
      <c r="G23" s="14" t="s">
        <v>225</v>
      </c>
    </row>
    <row r="24" spans="2:7" x14ac:dyDescent="0.2">
      <c r="B24" s="12" t="s">
        <v>226</v>
      </c>
      <c r="C24" s="44">
        <f>$D$14</f>
        <v>0.39429080380800002</v>
      </c>
      <c r="D24" s="45">
        <f>C24*$D$15</f>
        <v>520463.86102656001</v>
      </c>
      <c r="E24" s="37">
        <f>C24/$C$22-1</f>
        <v>-7.7852781906838975E-2</v>
      </c>
      <c r="G24" s="14" t="s">
        <v>227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5"/>
  <sheetViews>
    <sheetView tabSelected="1" zoomScale="110" zoomScaleNormal="110" workbookViewId="0">
      <pane xSplit="1" ySplit="3" topLeftCell="B4" activePane="bottomRight" state="frozen"/>
      <selection pane="topRight" activeCell="B1" sqref="B1"/>
      <selection pane="bottomLeft" activeCell="A4" sqref="A4"/>
      <selection pane="bottomRight" activeCell="C19" sqref="C19"/>
    </sheetView>
  </sheetViews>
  <sheetFormatPr baseColWidth="10" defaultColWidth="8.6640625" defaultRowHeight="15" x14ac:dyDescent="0.2"/>
  <cols>
    <col min="1" max="1" width="2" customWidth="1"/>
    <col min="2" max="2" width="48" customWidth="1"/>
    <col min="3" max="3" width="15" customWidth="1"/>
    <col min="4" max="4" width="16" customWidth="1"/>
    <col min="5" max="5" width="62" customWidth="1"/>
  </cols>
  <sheetData>
    <row r="1" spans="2:6" ht="19" x14ac:dyDescent="0.2">
      <c r="B1" s="8" t="s">
        <v>46</v>
      </c>
    </row>
    <row r="2" spans="2:6" x14ac:dyDescent="0.2">
      <c r="B2" s="9" t="s">
        <v>47</v>
      </c>
    </row>
    <row r="4" spans="2:6" x14ac:dyDescent="0.2">
      <c r="B4" s="10" t="s">
        <v>48</v>
      </c>
      <c r="C4" s="11"/>
      <c r="D4" s="11"/>
      <c r="E4" s="11"/>
      <c r="F4" s="11"/>
    </row>
    <row r="5" spans="2:6" x14ac:dyDescent="0.2">
      <c r="B5" s="12" t="s">
        <v>49</v>
      </c>
      <c r="C5" s="13">
        <v>66000</v>
      </c>
      <c r="D5" s="14" t="s">
        <v>50</v>
      </c>
      <c r="E5" s="14" t="s">
        <v>51</v>
      </c>
    </row>
    <row r="6" spans="2:6" x14ac:dyDescent="0.2">
      <c r="B6" s="12" t="s">
        <v>52</v>
      </c>
      <c r="C6" s="15">
        <v>1.2</v>
      </c>
      <c r="D6" s="14" t="s">
        <v>53</v>
      </c>
      <c r="E6" s="14" t="s">
        <v>54</v>
      </c>
    </row>
    <row r="7" spans="2:6" x14ac:dyDescent="0.2">
      <c r="B7" s="12" t="s">
        <v>55</v>
      </c>
      <c r="C7" s="16">
        <v>3.3</v>
      </c>
      <c r="D7" s="14" t="s">
        <v>56</v>
      </c>
      <c r="E7" s="14" t="s">
        <v>57</v>
      </c>
    </row>
    <row r="8" spans="2:6" x14ac:dyDescent="0.2">
      <c r="B8" s="12" t="s">
        <v>58</v>
      </c>
      <c r="C8" s="16">
        <v>3</v>
      </c>
      <c r="D8" s="14" t="s">
        <v>56</v>
      </c>
      <c r="E8" s="14" t="s">
        <v>59</v>
      </c>
    </row>
    <row r="9" spans="2:6" x14ac:dyDescent="0.2">
      <c r="B9" s="12" t="s">
        <v>60</v>
      </c>
      <c r="C9" s="15">
        <v>6</v>
      </c>
      <c r="D9" s="14" t="s">
        <v>61</v>
      </c>
      <c r="E9" s="14" t="s">
        <v>62</v>
      </c>
    </row>
    <row r="10" spans="2:6" x14ac:dyDescent="0.2">
      <c r="B10" s="12" t="s">
        <v>63</v>
      </c>
      <c r="C10" s="13">
        <v>60</v>
      </c>
      <c r="D10" s="14" t="s">
        <v>61</v>
      </c>
      <c r="E10" s="14" t="s">
        <v>64</v>
      </c>
    </row>
    <row r="11" spans="2:6" x14ac:dyDescent="0.2">
      <c r="B11" s="12" t="s">
        <v>65</v>
      </c>
      <c r="C11" s="15">
        <v>3</v>
      </c>
      <c r="D11" s="14" t="s">
        <v>66</v>
      </c>
      <c r="E11" s="14" t="s">
        <v>67</v>
      </c>
    </row>
    <row r="12" spans="2:6" x14ac:dyDescent="0.2">
      <c r="B12" s="12" t="s">
        <v>68</v>
      </c>
      <c r="C12" s="15">
        <v>3</v>
      </c>
      <c r="D12" s="14" t="s">
        <v>69</v>
      </c>
      <c r="E12" s="14" t="s">
        <v>70</v>
      </c>
    </row>
    <row r="14" spans="2:6" x14ac:dyDescent="0.2">
      <c r="B14" s="10" t="s">
        <v>71</v>
      </c>
      <c r="C14" s="11"/>
      <c r="D14" s="11"/>
      <c r="E14" s="11"/>
      <c r="F14" s="11"/>
    </row>
    <row r="15" spans="2:6" x14ac:dyDescent="0.2">
      <c r="B15" s="12" t="s">
        <v>72</v>
      </c>
      <c r="C15" s="13">
        <v>15836</v>
      </c>
      <c r="D15" s="14" t="s">
        <v>73</v>
      </c>
      <c r="E15" s="14" t="s">
        <v>74</v>
      </c>
    </row>
    <row r="16" spans="2:6" x14ac:dyDescent="0.2">
      <c r="B16" s="12" t="s">
        <v>75</v>
      </c>
      <c r="C16" s="13">
        <v>68809</v>
      </c>
      <c r="D16" s="14" t="s">
        <v>73</v>
      </c>
      <c r="E16" s="14" t="s">
        <v>76</v>
      </c>
    </row>
    <row r="17" spans="2:6" x14ac:dyDescent="0.2">
      <c r="B17" s="12" t="s">
        <v>77</v>
      </c>
      <c r="C17" s="13">
        <v>9266</v>
      </c>
      <c r="D17" s="14" t="s">
        <v>73</v>
      </c>
      <c r="E17" s="14" t="s">
        <v>78</v>
      </c>
    </row>
    <row r="18" spans="2:6" x14ac:dyDescent="0.2">
      <c r="B18" s="12" t="s">
        <v>79</v>
      </c>
      <c r="C18" s="17">
        <v>0.67200000000000004</v>
      </c>
      <c r="D18" s="14" t="s">
        <v>80</v>
      </c>
      <c r="E18" s="14" t="s">
        <v>81</v>
      </c>
    </row>
    <row r="19" spans="2:6" x14ac:dyDescent="0.2">
      <c r="B19" s="12" t="s">
        <v>82</v>
      </c>
      <c r="C19" s="13">
        <v>529</v>
      </c>
      <c r="D19" s="14" t="s">
        <v>73</v>
      </c>
      <c r="E19" s="14" t="s">
        <v>83</v>
      </c>
    </row>
    <row r="20" spans="2:6" x14ac:dyDescent="0.2">
      <c r="B20" s="14" t="s">
        <v>84</v>
      </c>
    </row>
    <row r="22" spans="2:6" x14ac:dyDescent="0.2">
      <c r="B22" s="10" t="s">
        <v>85</v>
      </c>
      <c r="C22" s="11"/>
      <c r="D22" s="11"/>
      <c r="E22" s="11"/>
      <c r="F22" s="11"/>
    </row>
    <row r="23" spans="2:6" x14ac:dyDescent="0.2">
      <c r="B23" s="12" t="s">
        <v>86</v>
      </c>
      <c r="C23" s="17">
        <v>1</v>
      </c>
      <c r="D23" s="14" t="s">
        <v>80</v>
      </c>
      <c r="E23" s="14"/>
    </row>
    <row r="24" spans="2:6" x14ac:dyDescent="0.2">
      <c r="B24" s="12" t="s">
        <v>87</v>
      </c>
      <c r="C24" s="17">
        <v>0</v>
      </c>
      <c r="D24" s="14" t="s">
        <v>80</v>
      </c>
      <c r="E24" s="14" t="s">
        <v>88</v>
      </c>
    </row>
    <row r="25" spans="2:6" x14ac:dyDescent="0.2">
      <c r="B25" s="12" t="s">
        <v>89</v>
      </c>
      <c r="C25" s="17">
        <v>0</v>
      </c>
      <c r="D25" s="14" t="s">
        <v>80</v>
      </c>
      <c r="E25" s="14" t="s">
        <v>90</v>
      </c>
    </row>
    <row r="26" spans="2:6" x14ac:dyDescent="0.2">
      <c r="B26" s="18" t="s">
        <v>91</v>
      </c>
      <c r="C26" s="19">
        <f>SUM(C23:C25)</f>
        <v>1</v>
      </c>
      <c r="E26" s="20" t="str">
        <f>IF(ABS(C26-1)&lt;0.0001,"OK","FIX — shares must total 100%")</f>
        <v>OK</v>
      </c>
    </row>
    <row r="28" spans="2:6" x14ac:dyDescent="0.2">
      <c r="B28" s="10" t="s">
        <v>92</v>
      </c>
      <c r="C28" s="11"/>
      <c r="D28" s="11"/>
      <c r="E28" s="11"/>
      <c r="F28" s="11"/>
    </row>
    <row r="29" spans="2:6" x14ac:dyDescent="0.2">
      <c r="B29" s="12" t="s">
        <v>93</v>
      </c>
      <c r="C29" s="13">
        <v>10000000</v>
      </c>
      <c r="D29" s="14" t="s">
        <v>94</v>
      </c>
      <c r="E29" s="14" t="s">
        <v>95</v>
      </c>
    </row>
    <row r="30" spans="2:6" x14ac:dyDescent="0.2">
      <c r="B30" s="12" t="s">
        <v>96</v>
      </c>
      <c r="C30" s="17">
        <v>1</v>
      </c>
      <c r="D30" s="14" t="s">
        <v>80</v>
      </c>
      <c r="E30" s="14" t="s">
        <v>97</v>
      </c>
    </row>
    <row r="31" spans="2:6" x14ac:dyDescent="0.2">
      <c r="B31" s="12" t="s">
        <v>98</v>
      </c>
      <c r="C31" s="13">
        <v>212</v>
      </c>
      <c r="D31" s="14" t="s">
        <v>99</v>
      </c>
      <c r="E31" s="14" t="s">
        <v>100</v>
      </c>
    </row>
    <row r="32" spans="2:6" x14ac:dyDescent="0.2">
      <c r="B32" s="12" t="s">
        <v>101</v>
      </c>
      <c r="C32" s="15">
        <v>1</v>
      </c>
      <c r="D32" s="14" t="s">
        <v>66</v>
      </c>
      <c r="E32" s="14" t="s">
        <v>102</v>
      </c>
    </row>
    <row r="34" spans="2:6" x14ac:dyDescent="0.2">
      <c r="B34" s="10" t="s">
        <v>103</v>
      </c>
      <c r="C34" s="11"/>
      <c r="D34" s="11"/>
      <c r="E34" s="11"/>
      <c r="F34" s="11"/>
    </row>
    <row r="35" spans="2:6" x14ac:dyDescent="0.2">
      <c r="B35" s="12" t="s">
        <v>104</v>
      </c>
      <c r="C35" s="13">
        <v>20</v>
      </c>
      <c r="D35" s="14" t="s">
        <v>105</v>
      </c>
      <c r="E35" s="1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6"/>
  <sheetViews>
    <sheetView zoomScale="110" zoomScaleNormal="110" workbookViewId="0">
      <pane xSplit="2" ySplit="3" topLeftCell="C4" activePane="bottomRight" state="frozen"/>
      <selection pane="topRight" activeCell="C1" sqref="C1"/>
      <selection pane="bottomLeft" activeCell="A4" sqref="A4"/>
      <selection pane="bottomRight" activeCell="C8" sqref="C8"/>
    </sheetView>
  </sheetViews>
  <sheetFormatPr baseColWidth="10" defaultColWidth="8.6640625" defaultRowHeight="15" x14ac:dyDescent="0.2"/>
  <cols>
    <col min="1" max="1" width="2" customWidth="1"/>
    <col min="2" max="2" width="46" customWidth="1"/>
    <col min="3" max="4" width="19" customWidth="1"/>
    <col min="7" max="7" width="60" customWidth="1"/>
  </cols>
  <sheetData>
    <row r="1" spans="2:7" ht="19" x14ac:dyDescent="0.2">
      <c r="B1" s="8" t="s">
        <v>228</v>
      </c>
    </row>
    <row r="2" spans="2:7" x14ac:dyDescent="0.2">
      <c r="B2" s="9" t="s">
        <v>229</v>
      </c>
    </row>
    <row r="4" spans="2:7" x14ac:dyDescent="0.2">
      <c r="B4" s="10" t="s">
        <v>230</v>
      </c>
      <c r="C4" s="11"/>
      <c r="D4" s="11"/>
      <c r="E4" s="11"/>
      <c r="F4" s="11"/>
    </row>
    <row r="5" spans="2:7" ht="30" customHeight="1" x14ac:dyDescent="0.2">
      <c r="B5" s="34"/>
      <c r="C5" s="35" t="s">
        <v>159</v>
      </c>
      <c r="D5" s="35" t="s">
        <v>7</v>
      </c>
      <c r="G5" s="23" t="s">
        <v>113</v>
      </c>
    </row>
    <row r="6" spans="2:7" x14ac:dyDescent="0.2">
      <c r="B6" s="31" t="s">
        <v>231</v>
      </c>
      <c r="C6" s="36">
        <f>Demand!C22*'Platform rates'!$C$13+Demand!C21*'Platform rates'!$C$14+Demand!C24*'Platform rates'!$C$15</f>
        <v>13405.923199999999</v>
      </c>
      <c r="D6" s="36">
        <f>Demand!D22*'Platform rates'!$C$13+Demand!D21*'Platform rates'!$C$14+Demand!D24*'Platform rates'!$C$15</f>
        <v>66378.92319999999</v>
      </c>
      <c r="G6" s="14" t="s">
        <v>232</v>
      </c>
    </row>
    <row r="7" spans="2:7" x14ac:dyDescent="0.2">
      <c r="B7" s="12" t="s">
        <v>233</v>
      </c>
      <c r="C7" s="48">
        <f>'Platform rates'!$C$12/C6</f>
        <v>5.0350877737387008E-2</v>
      </c>
      <c r="D7" s="48">
        <f>'Platform rates'!$C$12/D6</f>
        <v>1.0168890476969956E-2</v>
      </c>
      <c r="G7" s="14"/>
    </row>
    <row r="8" spans="2:7" x14ac:dyDescent="0.2">
      <c r="B8" s="31" t="s">
        <v>234</v>
      </c>
      <c r="C8" s="36">
        <f>ROUNDUP(Demand!$C$8*Inputs!$C$23/C7,0)</f>
        <v>61</v>
      </c>
      <c r="D8" s="36">
        <f>ROUNDUP(Demand!$C$8*Inputs!$C$23/D7,0)</f>
        <v>298</v>
      </c>
      <c r="G8" s="14" t="s">
        <v>235</v>
      </c>
    </row>
    <row r="9" spans="2:7" x14ac:dyDescent="0.2">
      <c r="B9" s="12" t="s">
        <v>236</v>
      </c>
      <c r="C9" s="33">
        <f>ROUNDUP(Demand!$C$9*Inputs!$C$23/C7,0)</f>
        <v>181</v>
      </c>
      <c r="D9" s="33">
        <f>ROUNDUP(Demand!$C$9*Inputs!$C$23/D7,0)</f>
        <v>893</v>
      </c>
      <c r="G9" s="14" t="s">
        <v>237</v>
      </c>
    </row>
    <row r="11" spans="2:7" x14ac:dyDescent="0.2">
      <c r="B11" s="10" t="s">
        <v>238</v>
      </c>
      <c r="C11" s="11"/>
      <c r="D11" s="11"/>
      <c r="E11" s="11"/>
      <c r="F11" s="11"/>
    </row>
    <row r="12" spans="2:7" ht="30" customHeight="1" x14ac:dyDescent="0.2">
      <c r="B12" s="23" t="s">
        <v>239</v>
      </c>
      <c r="C12" s="35" t="s">
        <v>240</v>
      </c>
      <c r="D12" s="35" t="s">
        <v>241</v>
      </c>
      <c r="E12" s="35" t="s">
        <v>242</v>
      </c>
      <c r="G12" s="23" t="s">
        <v>113</v>
      </c>
    </row>
    <row r="13" spans="2:7" x14ac:dyDescent="0.2">
      <c r="B13" s="18" t="s">
        <v>243</v>
      </c>
      <c r="C13" s="49">
        <f>'Platform rates'!$C$22</f>
        <v>7.14</v>
      </c>
      <c r="D13" s="50">
        <f>C13/('Platform rates'!$C$12*3600/1000000)</f>
        <v>2.9382716049382713</v>
      </c>
      <c r="E13" s="19">
        <f>D13/'Platform rates'!$C$16</f>
        <v>1.9588477366255141</v>
      </c>
      <c r="G13" s="14" t="str">
        <f>IF(E13&gt;1,"Never cheaper than pay-as-you-go","Cheaper above "&amp;TEXT(E13,"0%")&amp;" utilisation")</f>
        <v>Never cheaper than pay-as-you-go</v>
      </c>
    </row>
    <row r="14" spans="2:7" x14ac:dyDescent="0.2">
      <c r="B14" s="18" t="s">
        <v>244</v>
      </c>
      <c r="C14" s="49">
        <f>'Platform rates'!$C$23</f>
        <v>3.7</v>
      </c>
      <c r="D14" s="50">
        <f>C14/('Platform rates'!$C$12*3600/1000000)</f>
        <v>1.522633744855967</v>
      </c>
      <c r="E14" s="19">
        <f>D14/'Platform rates'!$C$16</f>
        <v>1.0150891632373114</v>
      </c>
      <c r="G14" s="14" t="str">
        <f>IF(E14&gt;1,"Never cheaper than pay-as-you-go","Cheaper above "&amp;TEXT(E14,"0%")&amp;" utilisation")</f>
        <v>Never cheaper than pay-as-you-go</v>
      </c>
    </row>
    <row r="15" spans="2:7" x14ac:dyDescent="0.2">
      <c r="B15" s="18" t="s">
        <v>245</v>
      </c>
      <c r="C15" s="49">
        <f>'Platform rates'!$C$24</f>
        <v>3.29</v>
      </c>
      <c r="D15" s="50">
        <f>C15/('Platform rates'!$C$12*3600/1000000)</f>
        <v>1.3539094650205761</v>
      </c>
      <c r="E15" s="19">
        <f>D15/'Platform rates'!$C$16</f>
        <v>0.90260631001371738</v>
      </c>
      <c r="G15" s="14" t="str">
        <f>IF(E15&gt;1,"Never cheaper than pay-as-you-go","Cheaper above "&amp;TEXT(E15,"0%")&amp;" utilisation")</f>
        <v>Cheaper above 90% utilisation</v>
      </c>
    </row>
    <row r="16" spans="2:7" x14ac:dyDescent="0.2">
      <c r="B16" s="18" t="s">
        <v>246</v>
      </c>
      <c r="C16" s="49">
        <f>'Platform rates'!$C$25</f>
        <v>2.74</v>
      </c>
      <c r="D16" s="50">
        <f>C16/('Platform rates'!$C$12*3600/1000000)</f>
        <v>1.1275720164609053</v>
      </c>
      <c r="E16" s="19">
        <f>D16/'Platform rates'!$C$16</f>
        <v>0.75171467764060351</v>
      </c>
      <c r="G16" s="14" t="str">
        <f>IF(E16&gt;1,"Never cheaper than pay-as-you-go","Cheaper above "&amp;TEXT(E16,"0%")&amp;" utilisation")</f>
        <v>Cheaper above 75% utilisation</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45"/>
  <sheetViews>
    <sheetView zoomScale="110" zoomScaleNormal="110" workbookViewId="0">
      <pane xSplit="2" ySplit="3" topLeftCell="C8" activePane="bottomRight" state="frozen"/>
      <selection pane="topRight" activeCell="C1" sqref="C1"/>
      <selection pane="bottomLeft" activeCell="A4" sqref="A4"/>
      <selection pane="bottomRight" activeCell="C40" sqref="C40"/>
    </sheetView>
  </sheetViews>
  <sheetFormatPr baseColWidth="10" defaultColWidth="8.6640625" defaultRowHeight="15" x14ac:dyDescent="0.2"/>
  <cols>
    <col min="1" max="1" width="2" customWidth="1"/>
    <col min="2" max="2" width="46" customWidth="1"/>
    <col min="3" max="4" width="19" customWidth="1"/>
    <col min="8" max="8" width="58" customWidth="1"/>
  </cols>
  <sheetData>
    <row r="1" spans="2:8" ht="19" x14ac:dyDescent="0.2">
      <c r="B1" s="8" t="s">
        <v>247</v>
      </c>
    </row>
    <row r="2" spans="2:8" x14ac:dyDescent="0.2">
      <c r="B2" s="9" t="s">
        <v>248</v>
      </c>
    </row>
    <row r="4" spans="2:8" x14ac:dyDescent="0.2">
      <c r="B4" s="10" t="s">
        <v>249</v>
      </c>
      <c r="C4" s="11"/>
      <c r="D4" s="11"/>
      <c r="E4" s="11"/>
      <c r="F4" s="11"/>
      <c r="G4" s="11"/>
      <c r="H4" s="11"/>
    </row>
    <row r="5" spans="2:8" x14ac:dyDescent="0.2">
      <c r="B5" s="12" t="s">
        <v>250</v>
      </c>
      <c r="C5" s="51">
        <f>Inputs!$C$31</f>
        <v>212</v>
      </c>
      <c r="H5" s="14" t="s">
        <v>251</v>
      </c>
    </row>
    <row r="6" spans="2:8" x14ac:dyDescent="0.2">
      <c r="B6" s="12" t="s">
        <v>101</v>
      </c>
      <c r="C6" s="52">
        <f>Inputs!$C$32</f>
        <v>1</v>
      </c>
      <c r="H6" s="14" t="s">
        <v>102</v>
      </c>
    </row>
    <row r="7" spans="2:8" x14ac:dyDescent="0.2">
      <c r="B7" s="31" t="s">
        <v>252</v>
      </c>
      <c r="C7" s="36">
        <f>C5*'Platform rates'!$C$12</f>
        <v>143100</v>
      </c>
      <c r="H7" s="14" t="s">
        <v>253</v>
      </c>
    </row>
    <row r="8" spans="2:8" x14ac:dyDescent="0.2">
      <c r="B8" s="12" t="s">
        <v>254</v>
      </c>
      <c r="C8" s="33">
        <f>Inputs!$C$5*Inputs!$C$35*Inputs!$C$6*Inputs!$C$7</f>
        <v>5227200</v>
      </c>
      <c r="H8" s="14"/>
    </row>
    <row r="9" spans="2:8" x14ac:dyDescent="0.2">
      <c r="B9" s="12" t="s">
        <v>255</v>
      </c>
      <c r="C9" s="53" t="str">
        <f>IF(AND(C5&gt;0,Inputs!$C$30=0),"FIX — GSUs purchased but 0% of calls routed to PT: pure added cost",IF(AND(C5=0,Inputs!$C$30&gt;0),"FIX — calls routed to PT but 0 GSUs purchased",IF(C5=0,"No commitment — everything is pay-as-you-go","OK")))</f>
        <v>OK</v>
      </c>
      <c r="H9" s="14"/>
    </row>
    <row r="11" spans="2:8" x14ac:dyDescent="0.2">
      <c r="B11" s="10" t="s">
        <v>256</v>
      </c>
      <c r="C11" s="11"/>
      <c r="D11" s="11"/>
      <c r="E11" s="11"/>
      <c r="F11" s="11"/>
      <c r="G11" s="11"/>
      <c r="H11" s="11"/>
    </row>
    <row r="12" spans="2:8" ht="30" customHeight="1" x14ac:dyDescent="0.2">
      <c r="B12" s="34"/>
      <c r="C12" s="35" t="s">
        <v>159</v>
      </c>
      <c r="D12" s="35" t="s">
        <v>7</v>
      </c>
      <c r="H12" s="23" t="s">
        <v>113</v>
      </c>
    </row>
    <row r="13" spans="2:8" x14ac:dyDescent="0.2">
      <c r="B13" s="12" t="s">
        <v>257</v>
      </c>
      <c r="C13" s="33">
        <f>Demand!$C$9*Inputs!$C$30*'PT sizing'!C6</f>
        <v>121658.75303999998</v>
      </c>
      <c r="D13" s="33">
        <f>Demand!$C$9*Inputs!$C$30*'PT sizing'!D6</f>
        <v>602388.72803999984</v>
      </c>
      <c r="H13" s="14"/>
    </row>
    <row r="14" spans="2:8" x14ac:dyDescent="0.2">
      <c r="B14" s="12" t="s">
        <v>258</v>
      </c>
      <c r="C14" s="33">
        <f>Demand!$C$12*Inputs!$C$30*'PT sizing'!C6</f>
        <v>28966.36977142857</v>
      </c>
      <c r="D14" s="33">
        <f>Demand!$C$12*Inputs!$C$30*'PT sizing'!D6</f>
        <v>143425.88762857139</v>
      </c>
      <c r="H14" s="14"/>
    </row>
    <row r="15" spans="2:8" x14ac:dyDescent="0.2">
      <c r="B15" s="12" t="s">
        <v>259</v>
      </c>
      <c r="C15" s="33">
        <f>MIN(C13,$C$7)*3600*Inputs!$C$12*Inputs!$C$35+MIN(C14,$C$7)*3600*(24-Inputs!$C$12)*Inputs!$C$35</f>
        <v>70075441751.040009</v>
      </c>
      <c r="D15" s="33">
        <f>MIN(D13,$C$7)*3600*Inputs!$C$12*Inputs!$C$35+MIN(D14,$C$7)*3600*(24-Inputs!$C$12)*Inputs!$C$35</f>
        <v>247276800000</v>
      </c>
      <c r="H15" s="14"/>
    </row>
    <row r="16" spans="2:8" x14ac:dyDescent="0.2">
      <c r="B16" s="12" t="s">
        <v>260</v>
      </c>
      <c r="C16" s="33">
        <f>MAX(0,C13-$C$7)*3600*Inputs!$C$12*Inputs!$C$35+MAX(0,C14-$C$7)*3600*(24-Inputs!$C$12)*Inputs!$C$35</f>
        <v>0</v>
      </c>
      <c r="D16" s="33">
        <f>MAX(0,D13-$C$7)*3600*Inputs!$C$12*Inputs!$C$35+MAX(0,D14-$C$7)*3600*(24-Inputs!$C$12)*Inputs!$C$35</f>
        <v>99699107351.039932</v>
      </c>
      <c r="H16" s="14" t="s">
        <v>261</v>
      </c>
    </row>
    <row r="17" spans="2:8" x14ac:dyDescent="0.2">
      <c r="B17" s="31" t="s">
        <v>262</v>
      </c>
      <c r="C17" s="37">
        <f>IF($C$7=0,0,C15/($C$7*3600*24*Inputs!$C$35))</f>
        <v>0.28338866303284421</v>
      </c>
      <c r="D17" s="37">
        <f>IF($C$7=0,0,D15/($C$7*3600*24*Inputs!$C$35))</f>
        <v>1</v>
      </c>
      <c r="H17" s="14" t="s">
        <v>263</v>
      </c>
    </row>
    <row r="19" spans="2:8" x14ac:dyDescent="0.2">
      <c r="B19" s="10" t="s">
        <v>264</v>
      </c>
      <c r="C19" s="11"/>
      <c r="D19" s="11"/>
      <c r="E19" s="11"/>
      <c r="F19" s="11"/>
      <c r="G19" s="11"/>
      <c r="H19" s="11"/>
    </row>
    <row r="20" spans="2:8" ht="30" customHeight="1" x14ac:dyDescent="0.2">
      <c r="B20" s="34"/>
      <c r="C20" s="35" t="s">
        <v>159</v>
      </c>
      <c r="D20" s="35" t="s">
        <v>7</v>
      </c>
      <c r="H20" s="23" t="s">
        <v>113</v>
      </c>
    </row>
    <row r="21" spans="2:8" x14ac:dyDescent="0.2">
      <c r="B21" s="31" t="s">
        <v>265</v>
      </c>
      <c r="C21" s="36">
        <f>ROUNDDOWN(Demand!$C$12*Inputs!$C$23*'PT sizing'!C6/'Platform rates'!$C$12,0)</f>
        <v>42</v>
      </c>
      <c r="D21" s="36">
        <f>ROUNDDOWN(Demand!$C$12*Inputs!$C$23*'PT sizing'!D6/'Platform rates'!$C$12,0)</f>
        <v>212</v>
      </c>
      <c r="H21" s="14" t="s">
        <v>266</v>
      </c>
    </row>
    <row r="22" spans="2:8" x14ac:dyDescent="0.2">
      <c r="B22" s="12" t="s">
        <v>267</v>
      </c>
      <c r="C22" s="46">
        <f>'Platform rates'!$C$12*3600*24*Inputs!$C$35/1000000*'Platform rates'!$C$16-'Platform rates'!$C$25*24*Inputs!$C$35</f>
        <v>434.40000000000009</v>
      </c>
      <c r="D22" s="46">
        <f>'Platform rates'!$C$12*3600*24*Inputs!$C$35/1000000*'Platform rates'!$C$16-'Platform rates'!$C$25*24*Inputs!$C$35</f>
        <v>434.40000000000009</v>
      </c>
      <c r="H22" s="14" t="s">
        <v>268</v>
      </c>
    </row>
    <row r="23" spans="2:8" x14ac:dyDescent="0.2">
      <c r="B23" s="31" t="s">
        <v>269</v>
      </c>
      <c r="C23" s="45">
        <f>C21*C22</f>
        <v>18244.800000000003</v>
      </c>
      <c r="D23" s="45">
        <f>D21*D22</f>
        <v>92092.800000000017</v>
      </c>
      <c r="H23" s="14" t="s">
        <v>270</v>
      </c>
    </row>
    <row r="25" spans="2:8" x14ac:dyDescent="0.2">
      <c r="B25" s="10" t="s">
        <v>271</v>
      </c>
      <c r="C25" s="11"/>
      <c r="D25" s="11"/>
      <c r="E25" s="11"/>
      <c r="F25" s="11"/>
      <c r="G25" s="11"/>
      <c r="H25" s="11"/>
    </row>
    <row r="26" spans="2:8" ht="30" customHeight="1" x14ac:dyDescent="0.2">
      <c r="B26" s="34"/>
      <c r="C26" s="35" t="s">
        <v>159</v>
      </c>
      <c r="D26" s="35" t="s">
        <v>7</v>
      </c>
      <c r="H26" s="23" t="s">
        <v>113</v>
      </c>
    </row>
    <row r="27" spans="2:8" x14ac:dyDescent="0.2">
      <c r="B27" s="12" t="s">
        <v>272</v>
      </c>
      <c r="C27" s="46">
        <f>$C$5*'Platform rates'!$C$22*24*Inputs!$C$35+C16/1000000*'Platform rates'!$C$16*$C$6+(Cost!C9-Cost!C6*Inputs!$C$30)*$C$8</f>
        <v>726566.39999999991</v>
      </c>
      <c r="D27" s="46">
        <f>$C$5*'Platform rates'!$C$22*24*Inputs!$C$35+D16/1000000*'Platform rates'!$C$16*$C$6+(Cost!D9-Cost!D6*Inputs!$C$30)*$C$8</f>
        <v>876115.06102655979</v>
      </c>
      <c r="H27" s="14"/>
    </row>
    <row r="28" spans="2:8" x14ac:dyDescent="0.2">
      <c r="B28" s="12" t="s">
        <v>273</v>
      </c>
      <c r="C28" s="46">
        <f>$C$5*'Platform rates'!$C$23*24*Inputs!$C$35+C16/1000000*'Platform rates'!$C$16*$C$6+(Cost!C9-Cost!C6*Inputs!$C$30)*$C$8</f>
        <v>376512.00000000006</v>
      </c>
      <c r="D28" s="46">
        <f>$C$5*'Platform rates'!$C$23*24*Inputs!$C$35+D16/1000000*'Platform rates'!$C$16*$C$6+(Cost!D9-Cost!D6*Inputs!$C$30)*$C$8</f>
        <v>526060.66102656</v>
      </c>
      <c r="H28" s="14"/>
    </row>
    <row r="29" spans="2:8" x14ac:dyDescent="0.2">
      <c r="B29" s="12" t="s">
        <v>274</v>
      </c>
      <c r="C29" s="46">
        <f>$C$5*'Platform rates'!$C$24*24*Inputs!$C$35+C16/1000000*'Platform rates'!$C$16*$C$6+(Cost!C9-Cost!C6*Inputs!$C$30)*$C$8</f>
        <v>334790.40000000002</v>
      </c>
      <c r="D29" s="46">
        <f>$C$5*'Platform rates'!$C$24*24*Inputs!$C$35+D16/1000000*'Platform rates'!$C$16*$C$6+(Cost!D9-Cost!D6*Inputs!$C$30)*$C$8</f>
        <v>484339.06102655991</v>
      </c>
      <c r="H29" s="14"/>
    </row>
    <row r="30" spans="2:8" x14ac:dyDescent="0.2">
      <c r="B30" s="31" t="s">
        <v>275</v>
      </c>
      <c r="C30" s="45">
        <f>$C$5*'Platform rates'!$C$25*24*Inputs!$C$35+C16/1000000*'Platform rates'!$C$16*$C$6+(Cost!C9-Cost!C6*Inputs!$C$30)*$C$8</f>
        <v>278822.39999999997</v>
      </c>
      <c r="D30" s="45">
        <f>$C$5*'Platform rates'!$C$25*24*Inputs!$C$35+D16/1000000*'Platform rates'!$C$16*$C$6+(Cost!D9-Cost!D6*Inputs!$C$30)*$C$8</f>
        <v>428371.06102655985</v>
      </c>
      <c r="H30" s="14" t="s">
        <v>276</v>
      </c>
    </row>
    <row r="31" spans="2:8" x14ac:dyDescent="0.2">
      <c r="B31" s="12" t="s">
        <v>213</v>
      </c>
      <c r="C31" s="54">
        <f>Cost!C16</f>
        <v>105113.16262655999</v>
      </c>
      <c r="D31" s="54">
        <f>Cost!D16</f>
        <v>520463.86102656001</v>
      </c>
      <c r="H31" s="14" t="s">
        <v>277</v>
      </c>
    </row>
    <row r="32" spans="2:8" x14ac:dyDescent="0.2">
      <c r="B32" s="31" t="s">
        <v>278</v>
      </c>
      <c r="C32" s="45">
        <f>MIN(C27,C28,C29,C30)-C31</f>
        <v>173709.23737343997</v>
      </c>
      <c r="D32" s="45">
        <f>MIN(D27,D28,D29,D30)-D31</f>
        <v>-92092.800000000163</v>
      </c>
      <c r="H32" s="14" t="s">
        <v>279</v>
      </c>
    </row>
    <row r="33" spans="2:8" x14ac:dyDescent="0.2">
      <c r="B33" s="12" t="s">
        <v>280</v>
      </c>
      <c r="C33" s="38" t="str">
        <f>IF(C32&lt;0,"Provisioned Throughput","Pure pay-as-you-go")</f>
        <v>Pure pay-as-you-go</v>
      </c>
      <c r="D33" s="38" t="str">
        <f>IF(D32&lt;0,"Provisioned Throughput","Pure pay-as-you-go")</f>
        <v>Provisioned Throughput</v>
      </c>
      <c r="H33" s="14"/>
    </row>
    <row r="35" spans="2:8" x14ac:dyDescent="0.2">
      <c r="B35" s="10" t="s">
        <v>281</v>
      </c>
      <c r="C35" s="11"/>
      <c r="D35" s="11"/>
      <c r="E35" s="11"/>
      <c r="F35" s="11"/>
      <c r="G35" s="11"/>
      <c r="H35" s="11"/>
    </row>
    <row r="36" spans="2:8" ht="30" customHeight="1" x14ac:dyDescent="0.2">
      <c r="B36" s="34"/>
      <c r="C36" s="35" t="s">
        <v>159</v>
      </c>
      <c r="D36" s="35" t="s">
        <v>7</v>
      </c>
      <c r="H36" s="23" t="s">
        <v>113</v>
      </c>
    </row>
    <row r="37" spans="2:8" x14ac:dyDescent="0.2">
      <c r="B37" s="12" t="s">
        <v>282</v>
      </c>
      <c r="C37" s="46">
        <f>$C$5*'Platform rates'!$C$25*24*Inputs!$C$35</f>
        <v>278822.39999999997</v>
      </c>
      <c r="D37" s="46">
        <f>$C$5*'Platform rates'!$C$25*24*Inputs!$C$35</f>
        <v>278822.39999999997</v>
      </c>
      <c r="H37" s="14" t="s">
        <v>283</v>
      </c>
    </row>
    <row r="38" spans="2:8" x14ac:dyDescent="0.2">
      <c r="B38" s="12" t="s">
        <v>284</v>
      </c>
      <c r="C38" s="46">
        <f>C16/1000000*'Platform rates'!$C$16*$C$6</f>
        <v>0</v>
      </c>
      <c r="D38" s="46">
        <f>D16/1000000*'Platform rates'!$C$16*$C$6</f>
        <v>149548.66102655989</v>
      </c>
      <c r="H38" s="14"/>
    </row>
    <row r="39" spans="2:8" x14ac:dyDescent="0.2">
      <c r="B39" s="12" t="s">
        <v>285</v>
      </c>
      <c r="C39" s="46">
        <f>(Cost!C9-Cost!C6*Inputs!$C$30)*$C$8</f>
        <v>0</v>
      </c>
      <c r="D39" s="46">
        <f>(Cost!D9-Cost!D6*Inputs!$C$30)*$C$8</f>
        <v>0</v>
      </c>
      <c r="H39" s="14" t="s">
        <v>286</v>
      </c>
    </row>
    <row r="40" spans="2:8" x14ac:dyDescent="0.2">
      <c r="B40" s="31" t="s">
        <v>287</v>
      </c>
      <c r="C40" s="45">
        <f>C37+C38+C39</f>
        <v>278822.39999999997</v>
      </c>
      <c r="D40" s="45">
        <f>D37+D38+D39</f>
        <v>428371.06102655985</v>
      </c>
      <c r="H40" s="14"/>
    </row>
    <row r="41" spans="2:8" x14ac:dyDescent="0.2">
      <c r="B41" s="31" t="s">
        <v>288</v>
      </c>
      <c r="C41" s="44">
        <f>C40/Cost!C15</f>
        <v>0.21122909090909089</v>
      </c>
      <c r="D41" s="44">
        <f>D40/Cost!D15</f>
        <v>0.32452353108072718</v>
      </c>
      <c r="H41" s="14"/>
    </row>
    <row r="43" spans="2:8" ht="15" customHeight="1" x14ac:dyDescent="0.2">
      <c r="B43" s="1" t="s">
        <v>289</v>
      </c>
      <c r="C43" s="1"/>
      <c r="D43" s="1"/>
      <c r="E43" s="1"/>
      <c r="F43" s="1"/>
      <c r="G43" s="1"/>
      <c r="H43" s="1"/>
    </row>
    <row r="44" spans="2:8" x14ac:dyDescent="0.2">
      <c r="B44" s="1"/>
      <c r="C44" s="1"/>
      <c r="D44" s="1"/>
      <c r="E44" s="1"/>
      <c r="F44" s="1"/>
      <c r="G44" s="1"/>
      <c r="H44" s="1"/>
    </row>
    <row r="45" spans="2:8" x14ac:dyDescent="0.2">
      <c r="B45" s="1"/>
      <c r="C45" s="1"/>
      <c r="D45" s="1"/>
      <c r="E45" s="1"/>
      <c r="F45" s="1"/>
      <c r="G45" s="1"/>
      <c r="H45" s="1"/>
    </row>
  </sheetData>
  <mergeCells count="1">
    <mergeCell ref="B43:H4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 me</vt:lpstr>
      <vt:lpstr>Platform rates</vt:lpstr>
      <vt:lpstr>Demand</vt:lpstr>
      <vt:lpstr>Cost</vt:lpstr>
      <vt:lpstr>Inputs</vt:lpstr>
      <vt:lpstr>PT sizing</vt:lpstr>
      <vt:lpstr>Total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Anil Choudhary [external]</cp:lastModifiedBy>
  <cp:revision>0</cp:revision>
  <dcterms:created xsi:type="dcterms:W3CDTF">2026-09-18T13:03:03Z</dcterms:created>
  <dcterms:modified xsi:type="dcterms:W3CDTF">2026-09-18T14:56:56Z</dcterms:modified>
  <dc:language>en-US</dc:language>
</cp:coreProperties>
</file>